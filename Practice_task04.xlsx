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06fa02fae7939c/Desktop/github/Data-analytics/"/>
    </mc:Choice>
  </mc:AlternateContent>
  <xr:revisionPtr revIDLastSave="37" documentId="8_{7A4C5381-9F0B-4A2E-A0A8-4333A8561F62}" xr6:coauthVersionLast="47" xr6:coauthVersionMax="47" xr10:uidLastSave="{9AA0694A-103B-4947-9FB1-81E66E7FC095}"/>
  <bookViews>
    <workbookView xWindow="-108" yWindow="-108" windowWidth="23256" windowHeight="12456" xr2:uid="{F9C6D7E8-7641-4E4F-8F9F-B03CA7A05EE9}"/>
  </bookViews>
  <sheets>
    <sheet name="Vlookup" sheetId="1" r:id="rId1"/>
    <sheet name="Hlookup" sheetId="2" r:id="rId2"/>
    <sheet name="Xlooku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1" i="3" l="1"/>
  <c r="L26" i="3"/>
  <c r="L20" i="3"/>
  <c r="L14" i="3"/>
  <c r="L8" i="3"/>
  <c r="K28" i="2"/>
  <c r="K23" i="2"/>
  <c r="L23" i="2" s="1"/>
  <c r="K14" i="2"/>
  <c r="K9" i="2"/>
  <c r="L30" i="1"/>
  <c r="L35" i="1"/>
  <c r="L18" i="1"/>
  <c r="L24" i="1"/>
  <c r="L12" i="1"/>
  <c r="L8" i="1"/>
</calcChain>
</file>

<file path=xl/sharedStrings.xml><?xml version="1.0" encoding="utf-8"?>
<sst xmlns="http://schemas.openxmlformats.org/spreadsheetml/2006/main" count="194" uniqueCount="61">
  <si>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</si>
  <si>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</si>
  <si>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</si>
  <si>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</si>
  <si>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</si>
  <si>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</si>
  <si>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</si>
  <si>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</si>
  <si>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</si>
  <si>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</si>
  <si>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</si>
  <si>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</si>
  <si>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</si>
  <si>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</si>
  <si>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</si>
  <si>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</si>
  <si>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</si>
  <si>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</si>
  <si>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</si>
  <si>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</si>
  <si>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</si>
  <si>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</si>
  <si>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</si>
  <si>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</si>
  <si>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</si>
  <si>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</si>
  <si>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</si>
  <si>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</si>
  <si>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</si>
  <si>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</si>
  <si>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</si>
  <si>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</si>
  <si>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</si>
  <si>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</si>
  <si>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r>
      <t>1. Find the </t>
    </r>
    <r>
      <rPr>
        <sz val="10"/>
        <rFont val="Segoe UI"/>
        <family val="2"/>
      </rPr>
      <t>Name</t>
    </r>
    <r>
      <rPr>
        <sz val="10"/>
        <rFont val="Segoe UI"/>
        <family val="2"/>
      </rPr>
      <t> of employee using </t>
    </r>
    <r>
      <rPr>
        <sz val="8"/>
        <rFont val="Consolas"/>
        <family val="3"/>
      </rPr>
      <t>EmployeeID</t>
    </r>
    <r>
      <rPr>
        <sz val="10"/>
        <rFont val="Segoe UI"/>
        <family val="2"/>
      </rPr>
      <t> from </t>
    </r>
    <r>
      <rPr>
        <sz val="8"/>
        <rFont val="Consolas"/>
        <family val="3"/>
      </rPr>
      <t>Search_Input</t>
    </r>
    <r>
      <rPr>
        <sz val="10"/>
        <rFont val="Segoe UI"/>
        <family val="2"/>
      </rPr>
      <t>.</t>
    </r>
  </si>
  <si>
    <t>2.Find the Department of employee with ID E103.</t>
  </si>
  <si>
    <t>3.Find the Salary of employee Neha Singh using VLOOKUP.</t>
  </si>
  <si>
    <t>4.Get the Location of employee E107.</t>
  </si>
  <si>
    <t>5.If EmployeeID is not found, display "Not Found".</t>
  </si>
  <si>
    <t>Gujrat</t>
  </si>
  <si>
    <t>6.Find the JoiningYear of employee E101.</t>
  </si>
  <si>
    <t>Dept</t>
  </si>
  <si>
    <t>bonus</t>
  </si>
  <si>
    <t>7.Find the Bonus % for IT department.</t>
  </si>
  <si>
    <t>8.Find the Bonus % for Finance department.</t>
  </si>
  <si>
    <t>dept</t>
  </si>
  <si>
    <t>9.Calculate Bonus Amount for employee E104
(Bonus Amount = Salary × Bonus %).</t>
  </si>
  <si>
    <t>Bonus Amount</t>
  </si>
  <si>
    <t xml:space="preserve"> employee</t>
  </si>
  <si>
    <t>10.If department is invalid, display "No Bonus Data".</t>
  </si>
  <si>
    <t>CE</t>
  </si>
  <si>
    <t>11.Find Salary using EmployeeID.</t>
  </si>
  <si>
    <t>location</t>
  </si>
  <si>
    <t>it</t>
  </si>
  <si>
    <t>13.Fetch Location of employee Rohit Verma.</t>
  </si>
  <si>
    <t>12.Find Department using Employee Name.</t>
  </si>
  <si>
    <t xml:space="preserve">name </t>
  </si>
  <si>
    <t xml:space="preserve"> EmployeeID</t>
  </si>
  <si>
    <t>E999</t>
  </si>
  <si>
    <t>14.If EmployeeID = E999, return "Employee Not Found".</t>
  </si>
  <si>
    <t>15.Find Bonus % using XLOOKUP from Department_Bonus (horizontal lookup).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</si>
</sst>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Segoe UI"/>
      <family val="2"/>
    </font>
    <font>
      <sz val="10"/>
      <name val="Segoe UI"/>
      <family val="2"/>
    </font>
    <font>
      <sz val="8"/>
      <name val="Consolas"/>
      <family val="3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D444D"/>
      </left>
      <right/>
      <top style="medium">
        <color rgb="FF3D444D"/>
      </top>
      <bottom style="medium">
        <color rgb="FF3D444D"/>
      </bottom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 indent="1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right" vertical="center" wrapText="1" indent="1"/>
    </xf>
    <xf numFmtId="0" fontId="5" fillId="2" borderId="1" xfId="0" applyFont="1" applyFill="1" applyBorder="1" applyAlignment="1">
      <alignment horizontal="left" vertical="center" wrapText="1" indent="1"/>
    </xf>
    <xf numFmtId="9" fontId="5" fillId="2" borderId="1" xfId="0" applyNumberFormat="1" applyFont="1" applyFill="1" applyBorder="1" applyAlignment="1">
      <alignment horizontal="right" vertical="center" wrapText="1" indent="1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2" xfId="0" applyBorder="1"/>
    <xf numFmtId="0" fontId="2" fillId="2" borderId="1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9" fontId="0" fillId="0" borderId="2" xfId="1" applyFont="1" applyBorder="1" applyAlignment="1">
      <alignment horizontal="left" vertical="center"/>
    </xf>
    <xf numFmtId="0" fontId="3" fillId="2" borderId="3" xfId="0" applyFont="1" applyFill="1" applyBorder="1" applyAlignment="1">
      <alignment vertical="center" wrapText="1"/>
    </xf>
    <xf numFmtId="0" fontId="0" fillId="0" borderId="2" xfId="0" applyFont="1" applyBorder="1"/>
    <xf numFmtId="0" fontId="3" fillId="2" borderId="4" xfId="0" applyFont="1" applyFill="1" applyBorder="1" applyAlignment="1">
      <alignment horizontal="right" vertical="center" wrapText="1" indent="1"/>
    </xf>
    <xf numFmtId="0" fontId="2" fillId="2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 indent="1"/>
    </xf>
    <xf numFmtId="9" fontId="0" fillId="0" borderId="2" xfId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9" fontId="5" fillId="2" borderId="1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35883-121D-4906-A074-A71B679BF0B8}">
  <dimension ref="A1:P64"/>
  <sheetViews>
    <sheetView tabSelected="1" topLeftCell="A13" zoomScale="82" workbookViewId="0">
      <selection activeCell="K22" sqref="K22:O22"/>
    </sheetView>
  </sheetViews>
  <sheetFormatPr defaultRowHeight="14.4" x14ac:dyDescent="0.3"/>
  <cols>
    <col min="1" max="1" width="12" style="17" bestFit="1" customWidth="1"/>
    <col min="2" max="2" width="12.88671875" style="17" customWidth="1"/>
    <col min="3" max="3" width="12" style="17" bestFit="1" customWidth="1"/>
    <col min="4" max="4" width="10" style="17" bestFit="1" customWidth="1"/>
    <col min="5" max="5" width="6.88671875" style="17" bestFit="1" customWidth="1"/>
    <col min="6" max="6" width="12" style="17" bestFit="1" customWidth="1"/>
    <col min="7" max="10" width="8.88671875" style="17"/>
    <col min="11" max="11" width="13.77734375" style="17" customWidth="1"/>
    <col min="12" max="12" width="17.6640625" style="17" customWidth="1"/>
    <col min="13" max="13" width="16.6640625" style="17" customWidth="1"/>
    <col min="14" max="14" width="8.88671875" style="17"/>
    <col min="15" max="15" width="12.88671875" style="17" customWidth="1"/>
    <col min="16" max="16" width="15.88671875" style="17" customWidth="1"/>
    <col min="17" max="16384" width="8.88671875" style="17"/>
  </cols>
  <sheetData>
    <row r="1" spans="1:16" ht="15" thickBot="1" x14ac:dyDescent="0.3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</row>
    <row r="2" spans="1:16" ht="15" thickBot="1" x14ac:dyDescent="0.35">
      <c r="A2" s="4" t="s">
        <v>6</v>
      </c>
      <c r="B2" s="4" t="s">
        <v>7</v>
      </c>
      <c r="C2" s="4" t="s">
        <v>8</v>
      </c>
      <c r="D2" s="4" t="s">
        <v>9</v>
      </c>
      <c r="E2" s="4">
        <v>45000</v>
      </c>
      <c r="F2" s="4">
        <v>2019</v>
      </c>
    </row>
    <row r="3" spans="1:16" ht="15.6" thickBot="1" x14ac:dyDescent="0.35">
      <c r="A3" s="4" t="s">
        <v>10</v>
      </c>
      <c r="B3" s="4" t="s">
        <v>11</v>
      </c>
      <c r="C3" s="4" t="s">
        <v>12</v>
      </c>
      <c r="D3" s="4" t="s">
        <v>13</v>
      </c>
      <c r="E3" s="4">
        <v>52000</v>
      </c>
      <c r="F3" s="4">
        <v>2018</v>
      </c>
      <c r="K3" s="30" t="s">
        <v>2</v>
      </c>
      <c r="L3" s="30" t="s">
        <v>8</v>
      </c>
      <c r="M3" s="30" t="s">
        <v>12</v>
      </c>
      <c r="N3" s="30" t="s">
        <v>16</v>
      </c>
      <c r="O3" s="30" t="s">
        <v>20</v>
      </c>
      <c r="P3" s="30" t="s">
        <v>24</v>
      </c>
    </row>
    <row r="4" spans="1:16" ht="15.6" thickBot="1" x14ac:dyDescent="0.35">
      <c r="A4" s="4" t="s">
        <v>14</v>
      </c>
      <c r="B4" s="4" t="s">
        <v>15</v>
      </c>
      <c r="C4" s="4" t="s">
        <v>16</v>
      </c>
      <c r="D4" s="4" t="s">
        <v>17</v>
      </c>
      <c r="E4" s="4">
        <v>65000</v>
      </c>
      <c r="F4" s="4">
        <v>2020</v>
      </c>
      <c r="K4" s="28" t="s">
        <v>33</v>
      </c>
      <c r="L4" s="31">
        <v>0.1</v>
      </c>
      <c r="M4" s="31">
        <v>0.08</v>
      </c>
      <c r="N4" s="31">
        <v>0.12</v>
      </c>
      <c r="O4" s="31">
        <v>0.15</v>
      </c>
      <c r="P4" s="31">
        <v>0.09</v>
      </c>
    </row>
    <row r="5" spans="1:16" ht="15" thickBot="1" x14ac:dyDescent="0.35">
      <c r="A5" s="4" t="s">
        <v>18</v>
      </c>
      <c r="B5" s="4" t="s">
        <v>19</v>
      </c>
      <c r="C5" s="4" t="s">
        <v>20</v>
      </c>
      <c r="D5" s="4" t="s">
        <v>21</v>
      </c>
      <c r="E5" s="4">
        <v>58000</v>
      </c>
      <c r="F5" s="4">
        <v>2017</v>
      </c>
    </row>
    <row r="6" spans="1:16" ht="15.6" thickBot="1" x14ac:dyDescent="0.35">
      <c r="A6" s="4" t="s">
        <v>22</v>
      </c>
      <c r="B6" s="4" t="s">
        <v>23</v>
      </c>
      <c r="C6" s="4" t="s">
        <v>24</v>
      </c>
      <c r="D6" s="4" t="s">
        <v>9</v>
      </c>
      <c r="E6" s="4">
        <v>48000</v>
      </c>
      <c r="F6" s="4">
        <v>2021</v>
      </c>
      <c r="K6" s="11" t="s">
        <v>34</v>
      </c>
      <c r="L6" s="11"/>
      <c r="M6" s="11"/>
      <c r="N6" s="11"/>
      <c r="O6" s="11"/>
      <c r="P6" s="11"/>
    </row>
    <row r="7" spans="1:16" ht="15.6" thickBot="1" x14ac:dyDescent="0.35">
      <c r="A7" s="4" t="s">
        <v>25</v>
      </c>
      <c r="B7" s="4" t="s">
        <v>26</v>
      </c>
      <c r="C7" s="4" t="s">
        <v>16</v>
      </c>
      <c r="D7" s="4" t="s">
        <v>27</v>
      </c>
      <c r="E7" s="4">
        <v>62000</v>
      </c>
      <c r="F7" s="4">
        <v>2019</v>
      </c>
      <c r="K7" s="30" t="s">
        <v>0</v>
      </c>
      <c r="L7" s="30" t="s">
        <v>1</v>
      </c>
    </row>
    <row r="8" spans="1:16" ht="15.6" thickBot="1" x14ac:dyDescent="0.35">
      <c r="A8" s="4" t="s">
        <v>28</v>
      </c>
      <c r="B8" s="4" t="s">
        <v>29</v>
      </c>
      <c r="C8" s="4" t="s">
        <v>8</v>
      </c>
      <c r="D8" s="4" t="s">
        <v>30</v>
      </c>
      <c r="E8" s="4">
        <v>47000</v>
      </c>
      <c r="F8" s="4">
        <v>2020</v>
      </c>
      <c r="K8" s="28" t="s">
        <v>18</v>
      </c>
      <c r="L8" s="28" t="str">
        <f>VLOOKUP(K8,A1:F9,2,0)</f>
        <v>Neha Singh</v>
      </c>
    </row>
    <row r="9" spans="1:16" ht="15" thickBot="1" x14ac:dyDescent="0.35">
      <c r="A9" s="4" t="s">
        <v>31</v>
      </c>
      <c r="B9" s="4" t="s">
        <v>32</v>
      </c>
      <c r="C9" s="4" t="s">
        <v>12</v>
      </c>
      <c r="D9" s="4" t="s">
        <v>17</v>
      </c>
      <c r="E9" s="4">
        <v>54000</v>
      </c>
      <c r="F9" s="4">
        <v>2016</v>
      </c>
    </row>
    <row r="10" spans="1:16" x14ac:dyDescent="0.3">
      <c r="K10" s="13" t="s">
        <v>35</v>
      </c>
      <c r="L10" s="13"/>
      <c r="M10" s="13"/>
      <c r="N10" s="13"/>
      <c r="O10" s="13"/>
      <c r="P10" s="13"/>
    </row>
    <row r="11" spans="1:16" x14ac:dyDescent="0.3">
      <c r="K11" s="20" t="s">
        <v>0</v>
      </c>
      <c r="L11" s="20" t="s">
        <v>2</v>
      </c>
    </row>
    <row r="12" spans="1:16" x14ac:dyDescent="0.3">
      <c r="K12" s="20" t="s">
        <v>14</v>
      </c>
      <c r="L12" s="20" t="str">
        <f>VLOOKUP(K12,A1:F9,3,0)</f>
        <v>IT</v>
      </c>
    </row>
    <row r="16" spans="1:16" ht="15" thickBot="1" x14ac:dyDescent="0.35">
      <c r="K16" s="13" t="s">
        <v>36</v>
      </c>
      <c r="L16" s="13"/>
      <c r="M16" s="13"/>
      <c r="N16" s="13"/>
      <c r="O16" s="13"/>
    </row>
    <row r="17" spans="11:15" ht="15.6" thickBot="1" x14ac:dyDescent="0.35">
      <c r="K17" s="32" t="s">
        <v>1</v>
      </c>
      <c r="L17" s="25" t="s">
        <v>4</v>
      </c>
    </row>
    <row r="18" spans="11:15" ht="15" x14ac:dyDescent="0.3">
      <c r="K18" s="29" t="s">
        <v>19</v>
      </c>
      <c r="L18" s="20">
        <f>VLOOKUP(B5,B2:F9,4,0)</f>
        <v>58000</v>
      </c>
    </row>
    <row r="22" spans="11:15" x14ac:dyDescent="0.3">
      <c r="K22" s="13" t="s">
        <v>37</v>
      </c>
      <c r="L22" s="13"/>
      <c r="M22" s="13"/>
      <c r="N22" s="13"/>
      <c r="O22" s="13"/>
    </row>
    <row r="23" spans="11:15" x14ac:dyDescent="0.3">
      <c r="K23" s="20" t="s">
        <v>0</v>
      </c>
      <c r="L23" s="20" t="s">
        <v>3</v>
      </c>
    </row>
    <row r="24" spans="11:15" x14ac:dyDescent="0.3">
      <c r="K24" s="20" t="s">
        <v>28</v>
      </c>
      <c r="L24" s="20" t="str">
        <f>VLOOKUP(K24,A1:F9,4,0)</f>
        <v>Hyderabad</v>
      </c>
    </row>
    <row r="28" spans="11:15" x14ac:dyDescent="0.3">
      <c r="K28" s="13" t="s">
        <v>38</v>
      </c>
      <c r="L28" s="13"/>
      <c r="M28" s="13"/>
      <c r="N28" s="13"/>
      <c r="O28" s="13"/>
    </row>
    <row r="29" spans="11:15" x14ac:dyDescent="0.3">
      <c r="K29" s="20" t="s">
        <v>3</v>
      </c>
      <c r="L29" s="20" t="s">
        <v>0</v>
      </c>
    </row>
    <row r="30" spans="11:15" x14ac:dyDescent="0.3">
      <c r="K30" s="20" t="s">
        <v>39</v>
      </c>
      <c r="L30" s="20" t="str">
        <f>IFERROR(VLOOKUP(K30,A1:F9,1,0),"Not Found")</f>
        <v>Not Found</v>
      </c>
    </row>
    <row r="33" spans="11:15" x14ac:dyDescent="0.3">
      <c r="K33" s="13" t="s">
        <v>40</v>
      </c>
      <c r="L33" s="13"/>
      <c r="M33" s="13"/>
      <c r="N33" s="13"/>
      <c r="O33" s="13"/>
    </row>
    <row r="34" spans="11:15" x14ac:dyDescent="0.3">
      <c r="K34" s="20" t="s">
        <v>0</v>
      </c>
      <c r="L34" s="20" t="s">
        <v>5</v>
      </c>
    </row>
    <row r="35" spans="11:15" x14ac:dyDescent="0.3">
      <c r="K35" s="33" t="s">
        <v>6</v>
      </c>
      <c r="L35" s="20">
        <f>VLOOKUP(K35,A1:F9,6,0)</f>
        <v>2019</v>
      </c>
    </row>
    <row r="48" spans="11:15" ht="14.4" customHeight="1" x14ac:dyDescent="0.3"/>
    <row r="64" s="17" customFormat="1" ht="26.4" customHeight="1" x14ac:dyDescent="0.3"/>
  </sheetData>
  <mergeCells count="6">
    <mergeCell ref="K6:P6"/>
    <mergeCell ref="K10:P10"/>
    <mergeCell ref="K16:O16"/>
    <mergeCell ref="K22:O22"/>
    <mergeCell ref="K28:O28"/>
    <mergeCell ref="K33:O3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A9ACA-AD94-46FA-B062-D60AED363726}">
  <dimension ref="A1:P28"/>
  <sheetViews>
    <sheetView zoomScale="106" workbookViewId="0">
      <selection activeCell="M35" sqref="M35"/>
    </sheetView>
  </sheetViews>
  <sheetFormatPr defaultRowHeight="14.4" x14ac:dyDescent="0.3"/>
  <cols>
    <col min="1" max="1" width="13.33203125" customWidth="1"/>
    <col min="2" max="2" width="12.109375" customWidth="1"/>
    <col min="3" max="3" width="12.33203125" customWidth="1"/>
    <col min="4" max="4" width="10.109375" customWidth="1"/>
    <col min="9" max="9" width="5.33203125" customWidth="1"/>
    <col min="10" max="10" width="9.88671875" customWidth="1"/>
    <col min="11" max="11" width="13" customWidth="1"/>
    <col min="12" max="12" width="12" customWidth="1"/>
    <col min="15" max="15" width="12.109375" customWidth="1"/>
    <col min="16" max="16" width="11.6640625" customWidth="1"/>
  </cols>
  <sheetData>
    <row r="1" spans="1:16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</row>
    <row r="2" spans="1:16" ht="30.6" thickBot="1" x14ac:dyDescent="0.35">
      <c r="A2" s="5" t="s">
        <v>6</v>
      </c>
      <c r="B2" s="5" t="s">
        <v>7</v>
      </c>
      <c r="C2" s="5" t="s">
        <v>8</v>
      </c>
      <c r="D2" s="5" t="s">
        <v>9</v>
      </c>
      <c r="E2" s="5">
        <v>45000</v>
      </c>
      <c r="F2" s="5">
        <v>2019</v>
      </c>
      <c r="K2" s="6" t="s">
        <v>2</v>
      </c>
      <c r="L2" s="7" t="s">
        <v>8</v>
      </c>
      <c r="M2" s="7" t="s">
        <v>12</v>
      </c>
      <c r="N2" s="7" t="s">
        <v>16</v>
      </c>
      <c r="O2" s="7" t="s">
        <v>20</v>
      </c>
      <c r="P2" s="7" t="s">
        <v>24</v>
      </c>
    </row>
    <row r="3" spans="1:16" ht="30.6" thickBot="1" x14ac:dyDescent="0.35">
      <c r="A3" s="5" t="s">
        <v>10</v>
      </c>
      <c r="B3" s="5" t="s">
        <v>11</v>
      </c>
      <c r="C3" s="5" t="s">
        <v>12</v>
      </c>
      <c r="D3" s="5" t="s">
        <v>13</v>
      </c>
      <c r="E3" s="5">
        <v>52000</v>
      </c>
      <c r="F3" s="5">
        <v>2018</v>
      </c>
      <c r="K3" s="8" t="s">
        <v>33</v>
      </c>
      <c r="L3" s="9">
        <v>0.1</v>
      </c>
      <c r="M3" s="9">
        <v>0.08</v>
      </c>
      <c r="N3" s="9">
        <v>0.12</v>
      </c>
      <c r="O3" s="9">
        <v>0.15</v>
      </c>
      <c r="P3" s="9">
        <v>0.09</v>
      </c>
    </row>
    <row r="4" spans="1:16" ht="29.4" thickBot="1" x14ac:dyDescent="0.35">
      <c r="A4" s="5" t="s">
        <v>14</v>
      </c>
      <c r="B4" s="5" t="s">
        <v>15</v>
      </c>
      <c r="C4" s="5" t="s">
        <v>16</v>
      </c>
      <c r="D4" s="5" t="s">
        <v>17</v>
      </c>
      <c r="E4" s="5">
        <v>65000</v>
      </c>
      <c r="F4" s="5">
        <v>2020</v>
      </c>
    </row>
    <row r="5" spans="1:16" ht="29.4" thickBot="1" x14ac:dyDescent="0.35">
      <c r="A5" s="5" t="s">
        <v>18</v>
      </c>
      <c r="B5" s="5" t="s">
        <v>19</v>
      </c>
      <c r="C5" s="5" t="s">
        <v>20</v>
      </c>
      <c r="D5" s="5" t="s">
        <v>21</v>
      </c>
      <c r="E5" s="5">
        <v>58000</v>
      </c>
      <c r="F5" s="5">
        <v>2017</v>
      </c>
    </row>
    <row r="6" spans="1:16" ht="29.4" thickBot="1" x14ac:dyDescent="0.35">
      <c r="A6" s="5" t="s">
        <v>22</v>
      </c>
      <c r="B6" s="5" t="s">
        <v>23</v>
      </c>
      <c r="C6" s="5" t="s">
        <v>24</v>
      </c>
      <c r="D6" s="5" t="s">
        <v>9</v>
      </c>
      <c r="E6" s="5">
        <v>48000</v>
      </c>
      <c r="F6" s="5">
        <v>2021</v>
      </c>
    </row>
    <row r="7" spans="1:16" ht="24" customHeight="1" thickBot="1" x14ac:dyDescent="0.35">
      <c r="A7" s="5" t="s">
        <v>25</v>
      </c>
      <c r="B7" s="5" t="s">
        <v>26</v>
      </c>
      <c r="C7" s="5" t="s">
        <v>16</v>
      </c>
      <c r="D7" s="5" t="s">
        <v>27</v>
      </c>
      <c r="E7" s="5">
        <v>62000</v>
      </c>
      <c r="F7" s="5">
        <v>2019</v>
      </c>
      <c r="J7" s="13" t="s">
        <v>43</v>
      </c>
      <c r="K7" s="13"/>
      <c r="L7" s="13"/>
      <c r="M7" s="13"/>
    </row>
    <row r="8" spans="1:16" ht="24" customHeight="1" thickBot="1" x14ac:dyDescent="0.35">
      <c r="A8" s="5" t="s">
        <v>28</v>
      </c>
      <c r="B8" s="5" t="s">
        <v>29</v>
      </c>
      <c r="C8" s="5" t="s">
        <v>8</v>
      </c>
      <c r="D8" s="5" t="s">
        <v>30</v>
      </c>
      <c r="E8" s="5">
        <v>47000</v>
      </c>
      <c r="F8" s="5">
        <v>2020</v>
      </c>
      <c r="J8" s="26" t="s">
        <v>41</v>
      </c>
      <c r="K8" s="20" t="s">
        <v>42</v>
      </c>
    </row>
    <row r="9" spans="1:16" ht="24.6" customHeight="1" thickBot="1" x14ac:dyDescent="0.35">
      <c r="A9" s="5" t="s">
        <v>31</v>
      </c>
      <c r="B9" s="5" t="s">
        <v>32</v>
      </c>
      <c r="C9" s="5" t="s">
        <v>12</v>
      </c>
      <c r="D9" s="5" t="s">
        <v>17</v>
      </c>
      <c r="E9" s="5">
        <v>54000</v>
      </c>
      <c r="F9" s="5">
        <v>2016</v>
      </c>
      <c r="J9" s="26" t="s">
        <v>16</v>
      </c>
      <c r="K9" s="21">
        <f>HLOOKUP(J9,Vlookup!K3:P4,2,0)</f>
        <v>0.12</v>
      </c>
    </row>
    <row r="12" spans="1:16" x14ac:dyDescent="0.3">
      <c r="J12" s="13" t="s">
        <v>44</v>
      </c>
      <c r="K12" s="13"/>
      <c r="L12" s="13"/>
      <c r="M12" s="13"/>
    </row>
    <row r="13" spans="1:16" x14ac:dyDescent="0.3">
      <c r="J13" s="14" t="s">
        <v>45</v>
      </c>
      <c r="K13" s="20" t="s">
        <v>42</v>
      </c>
    </row>
    <row r="14" spans="1:16" x14ac:dyDescent="0.3">
      <c r="J14" s="14" t="s">
        <v>20</v>
      </c>
      <c r="K14" s="21">
        <f>HLOOKUP(J14,Vlookup!K3:P4,2,0)</f>
        <v>0.15</v>
      </c>
    </row>
    <row r="17" spans="10:12" x14ac:dyDescent="0.3">
      <c r="J17" s="19" t="s">
        <v>46</v>
      </c>
      <c r="K17" s="19"/>
      <c r="L17" s="19"/>
    </row>
    <row r="18" spans="10:12" x14ac:dyDescent="0.3">
      <c r="J18" s="19"/>
      <c r="K18" s="19"/>
      <c r="L18" s="19"/>
    </row>
    <row r="19" spans="10:12" x14ac:dyDescent="0.3">
      <c r="J19" s="19"/>
      <c r="K19" s="19"/>
      <c r="L19" s="19"/>
    </row>
    <row r="20" spans="10:12" x14ac:dyDescent="0.3">
      <c r="J20" s="19"/>
      <c r="K20" s="19"/>
      <c r="L20" s="19"/>
    </row>
    <row r="22" spans="10:12" x14ac:dyDescent="0.3">
      <c r="J22" s="14" t="s">
        <v>48</v>
      </c>
      <c r="K22" s="14" t="s">
        <v>45</v>
      </c>
      <c r="L22" s="14" t="s">
        <v>47</v>
      </c>
    </row>
    <row r="23" spans="10:12" x14ac:dyDescent="0.3">
      <c r="J23" s="16" t="s">
        <v>18</v>
      </c>
      <c r="K23" s="14" t="str">
        <f>VLOOKUP(J23,Vlookup!A1:F9,3,0)</f>
        <v>Finance</v>
      </c>
      <c r="L23" s="14">
        <f>VLOOKUP(J23,Vlookup!A1:F9,5,0)*HLOOKUP(K23,Vlookup!K3:P4,2,0)</f>
        <v>8700</v>
      </c>
    </row>
    <row r="26" spans="10:12" x14ac:dyDescent="0.3">
      <c r="J26" s="18" t="s">
        <v>49</v>
      </c>
      <c r="K26" s="18"/>
      <c r="L26" s="18"/>
    </row>
    <row r="27" spans="10:12" x14ac:dyDescent="0.3">
      <c r="J27" s="14" t="s">
        <v>41</v>
      </c>
      <c r="K27" s="14" t="s">
        <v>42</v>
      </c>
    </row>
    <row r="28" spans="10:12" x14ac:dyDescent="0.3">
      <c r="J28" s="14" t="s">
        <v>50</v>
      </c>
      <c r="K28" s="20" t="str">
        <f>IFERROR(HLOOKUP(J28,Vlookup!K3:P4,2,0),"No Bonus Data")</f>
        <v>No Bonus Data</v>
      </c>
    </row>
  </sheetData>
  <mergeCells count="3">
    <mergeCell ref="J7:M7"/>
    <mergeCell ref="J12:M12"/>
    <mergeCell ref="J17:L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9B9E-9792-4F92-A3F7-367266D6415B}">
  <dimension ref="A1:O31"/>
  <sheetViews>
    <sheetView topLeftCell="A9" workbookViewId="0">
      <selection activeCell="I38" sqref="I38"/>
    </sheetView>
  </sheetViews>
  <sheetFormatPr defaultRowHeight="14.4" x14ac:dyDescent="0.3"/>
  <cols>
    <col min="1" max="1" width="14.109375" customWidth="1"/>
    <col min="3" max="3" width="12.109375" customWidth="1"/>
    <col min="10" max="10" width="10" customWidth="1"/>
    <col min="11" max="11" width="12.33203125" customWidth="1"/>
    <col min="12" max="12" width="10.5546875" customWidth="1"/>
    <col min="14" max="14" width="10" customWidth="1"/>
    <col min="15" max="15" width="14.6640625" customWidth="1"/>
  </cols>
  <sheetData>
    <row r="1" spans="1:15" ht="29.4" thickBot="1" x14ac:dyDescent="0.35">
      <c r="A1" s="15" t="s">
        <v>0</v>
      </c>
      <c r="B1" s="25" t="s">
        <v>1</v>
      </c>
      <c r="C1" s="25" t="s">
        <v>2</v>
      </c>
      <c r="D1" s="25" t="s">
        <v>3</v>
      </c>
      <c r="E1" s="15" t="s">
        <v>4</v>
      </c>
      <c r="F1" s="15" t="s">
        <v>5</v>
      </c>
    </row>
    <row r="2" spans="1:15" ht="30.6" thickBot="1" x14ac:dyDescent="0.35">
      <c r="A2" s="4" t="s">
        <v>6</v>
      </c>
      <c r="B2" s="4" t="s">
        <v>7</v>
      </c>
      <c r="C2" s="4" t="s">
        <v>8</v>
      </c>
      <c r="D2" s="4" t="s">
        <v>9</v>
      </c>
      <c r="E2" s="4">
        <v>45000</v>
      </c>
      <c r="F2" s="4">
        <v>2019</v>
      </c>
      <c r="J2" s="6" t="s">
        <v>2</v>
      </c>
      <c r="K2" s="7" t="s">
        <v>8</v>
      </c>
      <c r="L2" s="7" t="s">
        <v>12</v>
      </c>
      <c r="M2" s="7" t="s">
        <v>16</v>
      </c>
      <c r="N2" s="7" t="s">
        <v>20</v>
      </c>
      <c r="O2" s="7" t="s">
        <v>24</v>
      </c>
    </row>
    <row r="3" spans="1:15" ht="30.6" thickBot="1" x14ac:dyDescent="0.35">
      <c r="A3" s="4" t="s">
        <v>10</v>
      </c>
      <c r="B3" s="4" t="s">
        <v>11</v>
      </c>
      <c r="C3" s="4" t="s">
        <v>12</v>
      </c>
      <c r="D3" s="4" t="s">
        <v>13</v>
      </c>
      <c r="E3" s="4">
        <v>52000</v>
      </c>
      <c r="F3" s="4">
        <v>2018</v>
      </c>
      <c r="J3" s="8" t="s">
        <v>33</v>
      </c>
      <c r="K3" s="9">
        <v>0.1</v>
      </c>
      <c r="L3" s="9">
        <v>0.08</v>
      </c>
      <c r="M3" s="9">
        <v>0.12</v>
      </c>
      <c r="N3" s="9">
        <v>0.15</v>
      </c>
      <c r="O3" s="9">
        <v>0.09</v>
      </c>
    </row>
    <row r="4" spans="1:15" ht="29.4" thickBot="1" x14ac:dyDescent="0.35">
      <c r="A4" s="4" t="s">
        <v>14</v>
      </c>
      <c r="B4" s="4" t="s">
        <v>15</v>
      </c>
      <c r="C4" s="4" t="s">
        <v>16</v>
      </c>
      <c r="D4" s="4" t="s">
        <v>17</v>
      </c>
      <c r="E4" s="4">
        <v>65000</v>
      </c>
      <c r="F4" s="4">
        <v>2020</v>
      </c>
    </row>
    <row r="5" spans="1:15" ht="29.4" thickBot="1" x14ac:dyDescent="0.35">
      <c r="A5" s="4" t="s">
        <v>18</v>
      </c>
      <c r="B5" s="4" t="s">
        <v>19</v>
      </c>
      <c r="C5" s="4" t="s">
        <v>20</v>
      </c>
      <c r="D5" s="4" t="s">
        <v>21</v>
      </c>
      <c r="E5" s="4">
        <v>58000</v>
      </c>
      <c r="F5" s="4">
        <v>2017</v>
      </c>
    </row>
    <row r="6" spans="1:15" ht="29.4" thickBot="1" x14ac:dyDescent="0.35">
      <c r="A6" s="4" t="s">
        <v>22</v>
      </c>
      <c r="B6" s="4" t="s">
        <v>23</v>
      </c>
      <c r="C6" s="4" t="s">
        <v>24</v>
      </c>
      <c r="D6" s="4" t="s">
        <v>9</v>
      </c>
      <c r="E6" s="4">
        <v>48000</v>
      </c>
      <c r="F6" s="4">
        <v>2021</v>
      </c>
      <c r="K6" s="13" t="s">
        <v>51</v>
      </c>
      <c r="L6" s="13"/>
      <c r="M6" s="13"/>
      <c r="N6" s="13"/>
    </row>
    <row r="7" spans="1:15" ht="29.4" thickBot="1" x14ac:dyDescent="0.35">
      <c r="A7" s="4" t="s">
        <v>25</v>
      </c>
      <c r="B7" s="4" t="s">
        <v>26</v>
      </c>
      <c r="C7" s="4" t="s">
        <v>16</v>
      </c>
      <c r="D7" s="4" t="s">
        <v>27</v>
      </c>
      <c r="E7" s="4">
        <v>62000</v>
      </c>
      <c r="F7" s="4">
        <v>2019</v>
      </c>
      <c r="K7" s="3" t="s">
        <v>0</v>
      </c>
      <c r="L7" s="24" t="s">
        <v>4</v>
      </c>
    </row>
    <row r="8" spans="1:15" ht="29.4" thickBot="1" x14ac:dyDescent="0.35">
      <c r="A8" s="4" t="s">
        <v>28</v>
      </c>
      <c r="B8" s="4" t="s">
        <v>29</v>
      </c>
      <c r="C8" s="4" t="s">
        <v>8</v>
      </c>
      <c r="D8" s="4" t="s">
        <v>30</v>
      </c>
      <c r="E8" s="4">
        <v>47000</v>
      </c>
      <c r="F8" s="4">
        <v>2020</v>
      </c>
      <c r="K8" s="22" t="s">
        <v>22</v>
      </c>
      <c r="L8" s="23">
        <f>_xlfn.XLOOKUP(K8,Vlookup!A1:A9,Vlookup!E1:E9)</f>
        <v>48000</v>
      </c>
    </row>
    <row r="9" spans="1:15" ht="29.4" thickBot="1" x14ac:dyDescent="0.35">
      <c r="A9" s="4" t="s">
        <v>31</v>
      </c>
      <c r="B9" s="4" t="s">
        <v>32</v>
      </c>
      <c r="C9" s="4" t="s">
        <v>12</v>
      </c>
      <c r="D9" s="4" t="s">
        <v>17</v>
      </c>
      <c r="E9" s="4">
        <v>54000</v>
      </c>
      <c r="F9" s="4">
        <v>2016</v>
      </c>
    </row>
    <row r="11" spans="1:15" x14ac:dyDescent="0.3">
      <c r="K11" s="12" t="s">
        <v>55</v>
      </c>
      <c r="L11" s="12"/>
      <c r="M11" s="12"/>
    </row>
    <row r="13" spans="1:15" x14ac:dyDescent="0.3">
      <c r="K13" s="14" t="s">
        <v>56</v>
      </c>
      <c r="L13" s="14" t="s">
        <v>45</v>
      </c>
    </row>
    <row r="14" spans="1:15" x14ac:dyDescent="0.3">
      <c r="K14" s="14" t="s">
        <v>15</v>
      </c>
      <c r="L14" s="14" t="str">
        <f>_xlfn.XLOOKUP(K14,Vlookup!B1:B9,Vlookup!C1:C9)</f>
        <v>IT</v>
      </c>
    </row>
    <row r="17" spans="11:14" x14ac:dyDescent="0.3">
      <c r="K17" s="18" t="s">
        <v>54</v>
      </c>
      <c r="L17" s="18"/>
      <c r="M17" s="18"/>
      <c r="N17" s="10"/>
    </row>
    <row r="19" spans="11:14" x14ac:dyDescent="0.3">
      <c r="K19" s="14" t="s">
        <v>1</v>
      </c>
      <c r="L19" s="14" t="s">
        <v>52</v>
      </c>
    </row>
    <row r="20" spans="11:14" ht="28.8" x14ac:dyDescent="0.3">
      <c r="K20" s="16" t="s">
        <v>15</v>
      </c>
      <c r="L20" s="14" t="str">
        <f>_xlfn.XLOOKUP(K20,Vlookup!B1:B9,Vlookup!D1:D9)</f>
        <v>Bangalore</v>
      </c>
    </row>
    <row r="23" spans="11:14" x14ac:dyDescent="0.3">
      <c r="K23" s="18" t="s">
        <v>59</v>
      </c>
      <c r="L23" s="18"/>
      <c r="M23" s="18"/>
    </row>
    <row r="25" spans="11:14" x14ac:dyDescent="0.3">
      <c r="K25" s="14" t="s">
        <v>57</v>
      </c>
      <c r="L25" s="14" t="s">
        <v>45</v>
      </c>
    </row>
    <row r="26" spans="11:14" x14ac:dyDescent="0.3">
      <c r="K26" s="14" t="s">
        <v>58</v>
      </c>
      <c r="L26" s="14" t="str">
        <f>_xlfn.XLOOKUP(K26,Vlookup!A1:A9,Vlookup!C1:C9,"Employee Not Found")</f>
        <v>Employee Not Found</v>
      </c>
    </row>
    <row r="29" spans="11:14" x14ac:dyDescent="0.3">
      <c r="K29" s="18" t="s">
        <v>60</v>
      </c>
      <c r="L29" s="18"/>
      <c r="M29" s="18"/>
    </row>
    <row r="31" spans="11:14" x14ac:dyDescent="0.3">
      <c r="K31" s="14" t="s">
        <v>53</v>
      </c>
      <c r="L31" s="27">
        <f>_xlfn.XLOOKUP(K31,Vlookup!K3:P3,Vlookup!K4:P4)</f>
        <v>0.12</v>
      </c>
    </row>
  </sheetData>
  <mergeCells count="2">
    <mergeCell ref="K6:N6"/>
    <mergeCell ref="K11:M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Vlookup</vt:lpstr>
      <vt:lpstr>Hlookup</vt:lpstr>
      <vt:lpstr>Xlookup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soni</dc:creator>
  <cp:lastModifiedBy>shivam soni</cp:lastModifiedBy>
  <dcterms:created xsi:type="dcterms:W3CDTF">2026-02-01T04:46:03Z</dcterms:created>
  <dcterms:modified xsi:type="dcterms:W3CDTF">2026-02-01T07:47:16Z</dcterms:modified>
</cp:coreProperties>
</file>