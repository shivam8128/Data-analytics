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906fa02fae7939c/Desktop/github/Data-analytics/"/>
    </mc:Choice>
  </mc:AlternateContent>
  <xr:revisionPtr revIDLastSave="338" documentId="8_{A4CE175A-84B6-4CB1-B9F7-8599389A7E22}" xr6:coauthVersionLast="47" xr6:coauthVersionMax="47" xr10:uidLastSave="{0231BB32-0FCA-4458-9640-7C2352EC96AD}"/>
  <bookViews>
    <workbookView xWindow="-108" yWindow="-108" windowWidth="23256" windowHeight="12456" xr2:uid="{9D4A9268-8456-4CEB-919B-B75EE6E7D33A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  <sheet name="Sheet9" sheetId="9" r:id="rId9"/>
    <sheet name="Sheet10" sheetId="10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4" l="1"/>
  <c r="D3" i="4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6" i="10"/>
  <c r="D15" i="10"/>
  <c r="D14" i="10"/>
  <c r="D13" i="10"/>
  <c r="D12" i="10"/>
  <c r="D11" i="10"/>
  <c r="D10" i="10"/>
  <c r="D9" i="10"/>
  <c r="D8" i="10"/>
  <c r="D7" i="10"/>
  <c r="D6" i="10"/>
  <c r="D5" i="10"/>
  <c r="D4" i="10"/>
  <c r="D3" i="10"/>
  <c r="D2" i="10"/>
  <c r="C6" i="9"/>
  <c r="C7" i="9"/>
  <c r="C8" i="9"/>
  <c r="C9" i="9"/>
  <c r="C10" i="9"/>
  <c r="C11" i="9"/>
  <c r="C12" i="9"/>
  <c r="C13" i="9"/>
  <c r="C14" i="9"/>
  <c r="C15" i="9"/>
  <c r="C16" i="9"/>
  <c r="C3" i="9"/>
  <c r="C4" i="9"/>
  <c r="C5" i="9"/>
  <c r="C2" i="9"/>
  <c r="C6" i="8"/>
  <c r="C7" i="8"/>
  <c r="C8" i="8"/>
  <c r="C9" i="8"/>
  <c r="C10" i="8"/>
  <c r="C11" i="8"/>
  <c r="C12" i="8"/>
  <c r="C13" i="8"/>
  <c r="C14" i="8"/>
  <c r="C15" i="8"/>
  <c r="C16" i="8"/>
  <c r="C3" i="8"/>
  <c r="C4" i="8"/>
  <c r="C5" i="8"/>
  <c r="C2" i="8"/>
  <c r="D3" i="7"/>
  <c r="D4" i="7"/>
  <c r="D5" i="7"/>
  <c r="D6" i="7"/>
  <c r="D7" i="7"/>
  <c r="D8" i="7"/>
  <c r="D9" i="7"/>
  <c r="D10" i="7"/>
  <c r="D11" i="7"/>
  <c r="D12" i="7"/>
  <c r="D13" i="7"/>
  <c r="D14" i="7"/>
  <c r="D15" i="7"/>
  <c r="D16" i="7"/>
  <c r="D2" i="7"/>
  <c r="D3" i="5"/>
  <c r="D4" i="5"/>
  <c r="D5" i="5"/>
  <c r="D6" i="5"/>
  <c r="D7" i="5"/>
  <c r="D8" i="5"/>
  <c r="D9" i="5"/>
  <c r="D10" i="5"/>
  <c r="D11" i="5"/>
  <c r="D12" i="5"/>
  <c r="D13" i="5"/>
  <c r="D14" i="5"/>
  <c r="D15" i="5"/>
  <c r="D16" i="5"/>
  <c r="D2" i="5"/>
  <c r="D3" i="6"/>
  <c r="D4" i="6"/>
  <c r="D5" i="6"/>
  <c r="D6" i="6"/>
  <c r="D7" i="6"/>
  <c r="D8" i="6"/>
  <c r="D9" i="6"/>
  <c r="D10" i="6"/>
  <c r="D11" i="6"/>
  <c r="D12" i="6"/>
  <c r="D13" i="6"/>
  <c r="D14" i="6"/>
  <c r="D15" i="6"/>
  <c r="D16" i="6"/>
  <c r="D2" i="6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2" i="3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2" i="2"/>
  <c r="D7" i="1"/>
  <c r="D8" i="1"/>
  <c r="D9" i="1"/>
  <c r="D10" i="1"/>
  <c r="D11" i="1"/>
  <c r="D12" i="1"/>
  <c r="D13" i="1"/>
  <c r="D14" i="1"/>
  <c r="D15" i="1"/>
  <c r="D16" i="1"/>
  <c r="I23" i="1"/>
  <c r="D3" i="1"/>
  <c r="D4" i="1"/>
  <c r="D5" i="1"/>
  <c r="D6" i="1"/>
  <c r="D2" i="1"/>
</calcChain>
</file>

<file path=xl/sharedStrings.xml><?xml version="1.0" encoding="utf-8"?>
<sst xmlns="http://schemas.openxmlformats.org/spreadsheetml/2006/main" count="333" uniqueCount="87">
  <si>
    <t>Task 1: Pass / Fail using IF</t>
  </si>
  <si>
    <t>Dataset</t>
  </si>
  <si>
    <t>Roll No</t>
  </si>
  <si>
    <t>Student Name</t>
  </si>
  <si>
    <t>Marks</t>
  </si>
  <si>
    <t>Result</t>
  </si>
  <si>
    <t>Aman</t>
  </si>
  <si>
    <t>Bharti</t>
  </si>
  <si>
    <t>Rohan</t>
  </si>
  <si>
    <t>Deepa</t>
  </si>
  <si>
    <t>Farhan</t>
  </si>
  <si>
    <t>Task</t>
  </si>
  <si>
    <t>If Marks ≥ 40 → Pass</t>
  </si>
  <si>
    <t>Else → Fail</t>
  </si>
  <si>
    <t>Shivam</t>
  </si>
  <si>
    <t>Yogesh</t>
  </si>
  <si>
    <t>Yash</t>
  </si>
  <si>
    <t>Nimesh</t>
  </si>
  <si>
    <t>Brijesh</t>
  </si>
  <si>
    <t>Yuvraj</t>
  </si>
  <si>
    <t>Krish</t>
  </si>
  <si>
    <t>Jiva</t>
  </si>
  <si>
    <t>Hetvi</t>
  </si>
  <si>
    <t>Jayesh</t>
  </si>
  <si>
    <t>Task 2: Salary Bonus Check (IF)</t>
  </si>
  <si>
    <t>Employee Name</t>
  </si>
  <si>
    <t>Salary</t>
  </si>
  <si>
    <t>Bonus Status</t>
  </si>
  <si>
    <t>Rohit</t>
  </si>
  <si>
    <t>Simran</t>
  </si>
  <si>
    <t>Vijay</t>
  </si>
  <si>
    <t>Nisha</t>
  </si>
  <si>
    <t>Salary ≥ 40000 → Bonus</t>
  </si>
  <si>
    <t>Else → No Bonus</t>
  </si>
  <si>
    <t>Virat</t>
  </si>
  <si>
    <t>Task 3: Grade Calculation (Nested IF)</t>
  </si>
  <si>
    <t>Grade</t>
  </si>
  <si>
    <t>≥ 75 → A</t>
  </si>
  <si>
    <t>≥ 60 → B</t>
  </si>
  <si>
    <t>≥ 40 → C</t>
  </si>
  <si>
    <t>&lt; 40 → Fail</t>
  </si>
  <si>
    <t>Task 4: Job Eligibility (AND)</t>
  </si>
  <si>
    <t>Name</t>
  </si>
  <si>
    <t>Age</t>
  </si>
  <si>
    <t>Experience (Years)</t>
  </si>
  <si>
    <t>Eligible</t>
  </si>
  <si>
    <t>Age ≥ 21 AND Experience ≥ 1 → Eligible</t>
  </si>
  <si>
    <t>Task 5: Exam Eligibility (AND)</t>
  </si>
  <si>
    <t>Attendance %</t>
  </si>
  <si>
    <t>Assignment Submitted</t>
  </si>
  <si>
    <t>Yes</t>
  </si>
  <si>
    <t>No</t>
  </si>
  <si>
    <t>Attendance ≥ 75 AND Assignment = Yes</t>
  </si>
  <si>
    <t>Task 6: Discount Logic (OR)</t>
  </si>
  <si>
    <t>Customer Name</t>
  </si>
  <si>
    <t>Purchase Amount</t>
  </si>
  <si>
    <t>Membership</t>
  </si>
  <si>
    <t>Discount</t>
  </si>
  <si>
    <t>Aakash</t>
  </si>
  <si>
    <t>Bhavna</t>
  </si>
  <si>
    <t>Divya</t>
  </si>
  <si>
    <t>Purchase ≥ 10000 OR Membership = Yes</t>
  </si>
  <si>
    <t>Task 7: Loan Approval (OR)</t>
  </si>
  <si>
    <t>Applicant</t>
  </si>
  <si>
    <t>CIBIL Score</t>
  </si>
  <si>
    <t>Loan Status</t>
  </si>
  <si>
    <t>Salary ≥ 40000 OR CIBIL ≥ 700</t>
  </si>
  <si>
    <t>Task 8: Attendance Status (NOT)</t>
  </si>
  <si>
    <t>Present</t>
  </si>
  <si>
    <t>Status</t>
  </si>
  <si>
    <t>If NOT Present → Absent</t>
  </si>
  <si>
    <t>Else → Present</t>
  </si>
  <si>
    <t>Task 9: Safe Division (IFERROR)</t>
  </si>
  <si>
    <t>Number 1</t>
  </si>
  <si>
    <t>Number 2</t>
  </si>
  <si>
    <t>Divide Number 1 by Number 2</t>
  </si>
  <si>
    <t>If error → show "Invalid"</t>
  </si>
  <si>
    <t>Task 10: Performance Evaluation (Combined Logic)</t>
  </si>
  <si>
    <t>Targets Achieved</t>
  </si>
  <si>
    <t>Performance</t>
  </si>
  <si>
    <t>Raj</t>
  </si>
  <si>
    <t>Sunita</t>
  </si>
  <si>
    <t>Manoj</t>
  </si>
  <si>
    <t>Kavita</t>
  </si>
  <si>
    <t>Attendance ≥ 90 AND Targets ≥ 40 → Excellent</t>
  </si>
  <si>
    <t>Attendance ≥ 80 → Good</t>
  </si>
  <si>
    <t>Else → Needs Improvement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</si>
</sst>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6.5"/>
      <name val="Segoe UI"/>
      <family val="2"/>
    </font>
    <font>
      <sz val="11"/>
      <name val="Aptos Narrow"/>
      <family val="2"/>
      <scheme val="minor"/>
    </font>
    <font>
      <sz val="13.75"/>
      <name val="Segoe UI"/>
      <family val="2"/>
    </font>
    <font>
      <sz val="11"/>
      <name val="Aptos Narrow"/>
      <family val="2"/>
      <scheme val="minor"/>
    </font>
    <font>
      <sz val="10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medium">
        <color rgb="FF3D444D"/>
      </left>
      <right style="medium">
        <color rgb="FF3D444D"/>
      </right>
      <top style="medium">
        <color rgb="FF3D444D"/>
      </top>
      <bottom style="medium">
        <color rgb="FF3D444D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vertical="center"/>
    </xf>
    <xf numFmtId="0" fontId="2" fillId="2" borderId="0" xfId="0" applyFont="1" applyFill="1"/>
    <xf numFmtId="0" fontId="3" fillId="2" borderId="0" xfId="0" applyFont="1" applyFill="1" applyAlignment="1">
      <alignment vertical="center"/>
    </xf>
    <xf numFmtId="0" fontId="4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0" fontId="0" fillId="0" borderId="0" xfId="0" applyAlignment="1">
      <alignment horizontal="left" vertical="center"/>
    </xf>
    <xf numFmtId="0" fontId="4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left" vertical="center"/>
    </xf>
    <xf numFmtId="0" fontId="0" fillId="0" borderId="2" xfId="0" applyBorder="1"/>
    <xf numFmtId="0" fontId="0" fillId="0" borderId="2" xfId="0" applyBorder="1" applyAlignment="1">
      <alignment horizontal="left" vertical="center"/>
    </xf>
    <xf numFmtId="0" fontId="4" fillId="2" borderId="2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2BB581-4D2D-4479-B12E-0B570A9EABB3}">
  <dimension ref="A1:O23"/>
  <sheetViews>
    <sheetView tabSelected="1" workbookViewId="0">
      <selection activeCell="D2" sqref="D2"/>
    </sheetView>
  </sheetViews>
  <sheetFormatPr defaultRowHeight="14.4" x14ac:dyDescent="0.3"/>
  <cols>
    <col min="2" max="2" width="14.33203125" customWidth="1"/>
    <col min="12" max="12" width="10.21875" customWidth="1"/>
    <col min="13" max="13" width="14.33203125" customWidth="1"/>
  </cols>
  <sheetData>
    <row r="1" spans="1:15" x14ac:dyDescent="0.3">
      <c r="A1" s="8" t="s">
        <v>2</v>
      </c>
      <c r="B1" s="8" t="s">
        <v>3</v>
      </c>
      <c r="C1" s="8" t="s">
        <v>4</v>
      </c>
      <c r="D1" s="8" t="s">
        <v>5</v>
      </c>
    </row>
    <row r="2" spans="1:15" x14ac:dyDescent="0.3">
      <c r="A2" s="9">
        <v>1</v>
      </c>
      <c r="B2" s="9" t="s">
        <v>6</v>
      </c>
      <c r="C2" s="9">
        <v>78</v>
      </c>
      <c r="D2" s="9" t="str">
        <f>IF(C2&gt;=40,"Pass","Fail")</f>
        <v>Pass</v>
      </c>
    </row>
    <row r="3" spans="1:15" x14ac:dyDescent="0.3">
      <c r="A3" s="9">
        <v>2</v>
      </c>
      <c r="B3" s="9" t="s">
        <v>7</v>
      </c>
      <c r="C3" s="9">
        <v>35</v>
      </c>
      <c r="D3" s="9" t="str">
        <f t="shared" ref="D3:D16" si="0">IF(C3&gt;=40,"Pass","Fail")</f>
        <v>Fail</v>
      </c>
    </row>
    <row r="4" spans="1:15" x14ac:dyDescent="0.3">
      <c r="A4" s="9">
        <v>3</v>
      </c>
      <c r="B4" s="9" t="s">
        <v>8</v>
      </c>
      <c r="C4" s="9">
        <v>62</v>
      </c>
      <c r="D4" s="9" t="str">
        <f t="shared" si="0"/>
        <v>Pass</v>
      </c>
    </row>
    <row r="5" spans="1:15" x14ac:dyDescent="0.3">
      <c r="A5" s="9">
        <v>4</v>
      </c>
      <c r="B5" s="9" t="s">
        <v>9</v>
      </c>
      <c r="C5" s="9">
        <v>40</v>
      </c>
      <c r="D5" s="9" t="str">
        <f t="shared" si="0"/>
        <v>Pass</v>
      </c>
    </row>
    <row r="6" spans="1:15" x14ac:dyDescent="0.3">
      <c r="A6" s="9">
        <v>5</v>
      </c>
      <c r="B6" s="9" t="s">
        <v>10</v>
      </c>
      <c r="C6" s="9">
        <v>28</v>
      </c>
      <c r="D6" s="9" t="str">
        <f t="shared" si="0"/>
        <v>Fail</v>
      </c>
    </row>
    <row r="7" spans="1:15" x14ac:dyDescent="0.3">
      <c r="A7" s="9">
        <v>6</v>
      </c>
      <c r="B7" s="10" t="s">
        <v>14</v>
      </c>
      <c r="C7" s="11">
        <v>50</v>
      </c>
      <c r="D7" s="9" t="str">
        <f t="shared" si="0"/>
        <v>Pass</v>
      </c>
    </row>
    <row r="8" spans="1:15" x14ac:dyDescent="0.3">
      <c r="A8" s="9">
        <v>7</v>
      </c>
      <c r="B8" s="10" t="s">
        <v>15</v>
      </c>
      <c r="C8" s="11">
        <v>71</v>
      </c>
      <c r="D8" s="9" t="str">
        <f t="shared" si="0"/>
        <v>Pass</v>
      </c>
    </row>
    <row r="9" spans="1:15" ht="16.2" customHeight="1" x14ac:dyDescent="0.3">
      <c r="A9" s="9">
        <v>8</v>
      </c>
      <c r="B9" s="10" t="s">
        <v>16</v>
      </c>
      <c r="C9" s="11">
        <v>34</v>
      </c>
      <c r="D9" s="9" t="str">
        <f t="shared" si="0"/>
        <v>Fail</v>
      </c>
      <c r="L9" s="1" t="s">
        <v>0</v>
      </c>
      <c r="M9" s="2"/>
      <c r="N9" s="2"/>
      <c r="O9" s="2"/>
    </row>
    <row r="10" spans="1:15" ht="15.6" customHeight="1" thickBot="1" x14ac:dyDescent="0.35">
      <c r="A10" s="9">
        <v>9</v>
      </c>
      <c r="B10" s="10" t="s">
        <v>17</v>
      </c>
      <c r="C10" s="11">
        <v>67</v>
      </c>
      <c r="D10" s="9" t="str">
        <f t="shared" si="0"/>
        <v>Pass</v>
      </c>
      <c r="L10" s="3" t="s">
        <v>1</v>
      </c>
      <c r="M10" s="2"/>
      <c r="N10" s="2"/>
      <c r="O10" s="2"/>
    </row>
    <row r="11" spans="1:15" ht="15" thickBot="1" x14ac:dyDescent="0.35">
      <c r="A11" s="9">
        <v>10</v>
      </c>
      <c r="B11" s="10" t="s">
        <v>18</v>
      </c>
      <c r="C11" s="11">
        <v>58</v>
      </c>
      <c r="D11" s="9" t="str">
        <f t="shared" si="0"/>
        <v>Pass</v>
      </c>
      <c r="L11" s="4" t="s">
        <v>2</v>
      </c>
      <c r="M11" s="4" t="s">
        <v>3</v>
      </c>
      <c r="N11" s="4" t="s">
        <v>4</v>
      </c>
      <c r="O11" s="4" t="s">
        <v>5</v>
      </c>
    </row>
    <row r="12" spans="1:15" ht="15" thickBot="1" x14ac:dyDescent="0.35">
      <c r="A12" s="9">
        <v>11</v>
      </c>
      <c r="B12" s="10" t="s">
        <v>19</v>
      </c>
      <c r="C12" s="11">
        <v>40</v>
      </c>
      <c r="D12" s="9" t="str">
        <f t="shared" si="0"/>
        <v>Pass</v>
      </c>
      <c r="L12" s="5">
        <v>1</v>
      </c>
      <c r="M12" s="5" t="s">
        <v>6</v>
      </c>
      <c r="N12" s="5">
        <v>78</v>
      </c>
      <c r="O12" s="5"/>
    </row>
    <row r="13" spans="1:15" ht="15" thickBot="1" x14ac:dyDescent="0.35">
      <c r="A13" s="9">
        <v>12</v>
      </c>
      <c r="B13" s="10" t="s">
        <v>20</v>
      </c>
      <c r="C13" s="11">
        <v>30</v>
      </c>
      <c r="D13" s="9" t="str">
        <f t="shared" si="0"/>
        <v>Fail</v>
      </c>
      <c r="L13" s="5">
        <v>2</v>
      </c>
      <c r="M13" s="5" t="s">
        <v>7</v>
      </c>
      <c r="N13" s="5">
        <v>35</v>
      </c>
      <c r="O13" s="5"/>
    </row>
    <row r="14" spans="1:15" ht="15" thickBot="1" x14ac:dyDescent="0.35">
      <c r="A14" s="9">
        <v>13</v>
      </c>
      <c r="B14" s="10" t="s">
        <v>21</v>
      </c>
      <c r="C14" s="11">
        <v>45</v>
      </c>
      <c r="D14" s="9" t="str">
        <f t="shared" si="0"/>
        <v>Pass</v>
      </c>
      <c r="L14" s="5">
        <v>3</v>
      </c>
      <c r="M14" s="5" t="s">
        <v>8</v>
      </c>
      <c r="N14" s="5">
        <v>62</v>
      </c>
      <c r="O14" s="5"/>
    </row>
    <row r="15" spans="1:15" ht="15" thickBot="1" x14ac:dyDescent="0.35">
      <c r="A15" s="9">
        <v>14</v>
      </c>
      <c r="B15" s="10" t="s">
        <v>22</v>
      </c>
      <c r="C15" s="11">
        <v>81</v>
      </c>
      <c r="D15" s="9" t="str">
        <f t="shared" si="0"/>
        <v>Pass</v>
      </c>
      <c r="L15" s="5">
        <v>4</v>
      </c>
      <c r="M15" s="5" t="s">
        <v>9</v>
      </c>
      <c r="N15" s="5">
        <v>40</v>
      </c>
      <c r="O15" s="5"/>
    </row>
    <row r="16" spans="1:15" ht="15" thickBot="1" x14ac:dyDescent="0.35">
      <c r="A16" s="9">
        <v>15</v>
      </c>
      <c r="B16" s="10" t="s">
        <v>23</v>
      </c>
      <c r="C16" s="11">
        <v>70</v>
      </c>
      <c r="D16" s="9" t="str">
        <f t="shared" si="0"/>
        <v>Pass</v>
      </c>
      <c r="L16" s="5">
        <v>5</v>
      </c>
      <c r="M16" s="5" t="s">
        <v>10</v>
      </c>
      <c r="N16" s="5">
        <v>28</v>
      </c>
      <c r="O16" s="5"/>
    </row>
    <row r="17" spans="9:15" ht="20.399999999999999" x14ac:dyDescent="0.3">
      <c r="L17" s="3" t="s">
        <v>11</v>
      </c>
      <c r="M17" s="2"/>
      <c r="N17" s="2"/>
      <c r="O17" s="2"/>
    </row>
    <row r="18" spans="9:15" ht="15" x14ac:dyDescent="0.3">
      <c r="L18" s="6" t="s">
        <v>12</v>
      </c>
      <c r="M18" s="2"/>
      <c r="N18" s="2"/>
      <c r="O18" s="2"/>
    </row>
    <row r="19" spans="9:15" ht="15" x14ac:dyDescent="0.3">
      <c r="L19" s="6" t="s">
        <v>13</v>
      </c>
      <c r="M19" s="2"/>
      <c r="N19" s="2"/>
      <c r="O19" s="2"/>
    </row>
    <row r="23" spans="9:15" x14ac:dyDescent="0.3">
      <c r="I23" t="str">
        <f>PROPER(B7)</f>
        <v>Shivam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F40523-8785-4EE7-A4A1-FFDA2F8282EF}">
  <dimension ref="A1:O21"/>
  <sheetViews>
    <sheetView workbookViewId="0">
      <selection activeCell="C2" sqref="C2"/>
    </sheetView>
  </sheetViews>
  <sheetFormatPr defaultRowHeight="14.4" x14ac:dyDescent="0.3"/>
  <cols>
    <col min="1" max="1" width="15.5546875" customWidth="1"/>
    <col min="3" max="3" width="12.5546875" customWidth="1"/>
    <col min="12" max="12" width="7.33203125" customWidth="1"/>
    <col min="13" max="13" width="16.21875" customWidth="1"/>
    <col min="15" max="15" width="13.109375" customWidth="1"/>
  </cols>
  <sheetData>
    <row r="1" spans="1:15" x14ac:dyDescent="0.3">
      <c r="A1" s="8" t="s">
        <v>25</v>
      </c>
      <c r="B1" s="8" t="s">
        <v>26</v>
      </c>
      <c r="C1" s="8" t="s">
        <v>27</v>
      </c>
    </row>
    <row r="2" spans="1:15" x14ac:dyDescent="0.3">
      <c r="A2" s="9" t="s">
        <v>28</v>
      </c>
      <c r="B2" s="9">
        <v>28000</v>
      </c>
      <c r="C2" s="9" t="str">
        <f>IF(B2&gt;=40000,"Bonus","No Bonus")</f>
        <v>No Bonus</v>
      </c>
    </row>
    <row r="3" spans="1:15" x14ac:dyDescent="0.3">
      <c r="A3" s="9" t="s">
        <v>29</v>
      </c>
      <c r="B3" s="9">
        <v>45000</v>
      </c>
      <c r="C3" s="9" t="str">
        <f t="shared" ref="C3:C16" si="0">IF(B3&gt;=40000,"Bonus","No Bonus")</f>
        <v>Bonus</v>
      </c>
    </row>
    <row r="4" spans="1:15" x14ac:dyDescent="0.3">
      <c r="A4" s="9" t="s">
        <v>30</v>
      </c>
      <c r="B4" s="9">
        <v>52000</v>
      </c>
      <c r="C4" s="9" t="str">
        <f t="shared" si="0"/>
        <v>Bonus</v>
      </c>
    </row>
    <row r="5" spans="1:15" x14ac:dyDescent="0.3">
      <c r="A5" s="9" t="s">
        <v>31</v>
      </c>
      <c r="B5" s="9">
        <v>30000</v>
      </c>
      <c r="C5" s="9" t="str">
        <f t="shared" si="0"/>
        <v>No Bonus</v>
      </c>
    </row>
    <row r="6" spans="1:15" x14ac:dyDescent="0.3">
      <c r="A6" s="10" t="s">
        <v>14</v>
      </c>
      <c r="B6" s="11">
        <v>30883</v>
      </c>
      <c r="C6" s="9" t="str">
        <f t="shared" si="0"/>
        <v>No Bonus</v>
      </c>
    </row>
    <row r="7" spans="1:15" x14ac:dyDescent="0.3">
      <c r="A7" s="10" t="s">
        <v>15</v>
      </c>
      <c r="B7" s="11">
        <v>34007</v>
      </c>
      <c r="C7" s="9" t="str">
        <f t="shared" si="0"/>
        <v>No Bonus</v>
      </c>
    </row>
    <row r="8" spans="1:15" x14ac:dyDescent="0.3">
      <c r="A8" s="10" t="s">
        <v>16</v>
      </c>
      <c r="B8" s="11">
        <v>32248</v>
      </c>
      <c r="C8" s="9" t="str">
        <f t="shared" si="0"/>
        <v>No Bonus</v>
      </c>
    </row>
    <row r="9" spans="1:15" x14ac:dyDescent="0.3">
      <c r="A9" s="10" t="s">
        <v>17</v>
      </c>
      <c r="B9" s="11">
        <v>57698</v>
      </c>
      <c r="C9" s="9" t="str">
        <f t="shared" si="0"/>
        <v>Bonus</v>
      </c>
    </row>
    <row r="10" spans="1:15" x14ac:dyDescent="0.3">
      <c r="A10" s="10" t="s">
        <v>18</v>
      </c>
      <c r="B10" s="11">
        <v>47987</v>
      </c>
      <c r="C10" s="9" t="str">
        <f t="shared" si="0"/>
        <v>Bonus</v>
      </c>
    </row>
    <row r="11" spans="1:15" x14ac:dyDescent="0.3">
      <c r="A11" s="10" t="s">
        <v>19</v>
      </c>
      <c r="B11" s="11">
        <v>53096</v>
      </c>
      <c r="C11" s="9" t="str">
        <f t="shared" si="0"/>
        <v>Bonus</v>
      </c>
    </row>
    <row r="12" spans="1:15" ht="16.2" customHeight="1" x14ac:dyDescent="0.3">
      <c r="A12" s="10" t="s">
        <v>20</v>
      </c>
      <c r="B12" s="11">
        <v>40561</v>
      </c>
      <c r="C12" s="9" t="str">
        <f t="shared" si="0"/>
        <v>Bonus</v>
      </c>
      <c r="M12" s="1" t="s">
        <v>24</v>
      </c>
      <c r="N12" s="2"/>
      <c r="O12" s="2"/>
    </row>
    <row r="13" spans="1:15" ht="15.6" customHeight="1" thickBot="1" x14ac:dyDescent="0.35">
      <c r="A13" s="10" t="s">
        <v>21</v>
      </c>
      <c r="B13" s="11">
        <v>53488</v>
      </c>
      <c r="C13" s="9" t="str">
        <f t="shared" si="0"/>
        <v>Bonus</v>
      </c>
      <c r="M13" s="3" t="s">
        <v>1</v>
      </c>
      <c r="N13" s="2"/>
      <c r="O13" s="2"/>
    </row>
    <row r="14" spans="1:15" ht="15" thickBot="1" x14ac:dyDescent="0.35">
      <c r="A14" s="10" t="s">
        <v>22</v>
      </c>
      <c r="B14" s="11">
        <v>33232</v>
      </c>
      <c r="C14" s="9" t="str">
        <f t="shared" si="0"/>
        <v>No Bonus</v>
      </c>
      <c r="M14" s="4" t="s">
        <v>25</v>
      </c>
      <c r="N14" s="4" t="s">
        <v>26</v>
      </c>
      <c r="O14" s="4" t="s">
        <v>27</v>
      </c>
    </row>
    <row r="15" spans="1:15" ht="15" thickBot="1" x14ac:dyDescent="0.35">
      <c r="A15" s="10" t="s">
        <v>23</v>
      </c>
      <c r="B15" s="11">
        <v>59383</v>
      </c>
      <c r="C15" s="9" t="str">
        <f t="shared" si="0"/>
        <v>Bonus</v>
      </c>
      <c r="M15" s="5" t="s">
        <v>28</v>
      </c>
      <c r="N15" s="5">
        <v>28000</v>
      </c>
      <c r="O15" s="5"/>
    </row>
    <row r="16" spans="1:15" ht="15" thickBot="1" x14ac:dyDescent="0.35">
      <c r="A16" s="10" t="s">
        <v>34</v>
      </c>
      <c r="B16" s="11">
        <v>30000</v>
      </c>
      <c r="C16" s="9" t="str">
        <f t="shared" si="0"/>
        <v>No Bonus</v>
      </c>
      <c r="M16" s="5" t="s">
        <v>29</v>
      </c>
      <c r="N16" s="5">
        <v>45000</v>
      </c>
      <c r="O16" s="5"/>
    </row>
    <row r="17" spans="13:15" ht="15" thickBot="1" x14ac:dyDescent="0.35">
      <c r="M17" s="5" t="s">
        <v>30</v>
      </c>
      <c r="N17" s="5">
        <v>52000</v>
      </c>
      <c r="O17" s="5"/>
    </row>
    <row r="18" spans="13:15" ht="15" thickBot="1" x14ac:dyDescent="0.35">
      <c r="M18" s="5" t="s">
        <v>31</v>
      </c>
      <c r="N18" s="5">
        <v>30000</v>
      </c>
      <c r="O18" s="5"/>
    </row>
    <row r="19" spans="13:15" ht="20.399999999999999" x14ac:dyDescent="0.3">
      <c r="M19" s="3" t="s">
        <v>11</v>
      </c>
      <c r="N19" s="2"/>
      <c r="O19" s="2"/>
    </row>
    <row r="20" spans="13:15" ht="15" x14ac:dyDescent="0.3">
      <c r="M20" s="6" t="s">
        <v>32</v>
      </c>
      <c r="N20" s="2"/>
      <c r="O20" s="2"/>
    </row>
    <row r="21" spans="13:15" ht="15" x14ac:dyDescent="0.3">
      <c r="M21" s="6" t="s">
        <v>33</v>
      </c>
      <c r="N21" s="2"/>
      <c r="O21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12E753-C949-41CA-AF43-522D8E701DAF}">
  <dimension ref="A1:M22"/>
  <sheetViews>
    <sheetView workbookViewId="0">
      <selection activeCell="C2" sqref="C2"/>
    </sheetView>
  </sheetViews>
  <sheetFormatPr defaultRowHeight="14.4" x14ac:dyDescent="0.3"/>
  <cols>
    <col min="1" max="1" width="14.21875" customWidth="1"/>
    <col min="11" max="11" width="14" customWidth="1"/>
  </cols>
  <sheetData>
    <row r="1" spans="1:13" x14ac:dyDescent="0.3">
      <c r="A1" s="8" t="s">
        <v>3</v>
      </c>
      <c r="B1" s="8" t="s">
        <v>4</v>
      </c>
      <c r="C1" s="8" t="s">
        <v>36</v>
      </c>
    </row>
    <row r="2" spans="1:13" x14ac:dyDescent="0.3">
      <c r="A2" s="9" t="s">
        <v>6</v>
      </c>
      <c r="B2" s="9">
        <v>82</v>
      </c>
      <c r="C2" s="9" t="str">
        <f>IF(B2&gt;=75,"A",IF(B2&gt;=60,"B",IF(B2&gt;=40,"C","Fail")))</f>
        <v>A</v>
      </c>
    </row>
    <row r="3" spans="1:13" x14ac:dyDescent="0.3">
      <c r="A3" s="9" t="s">
        <v>7</v>
      </c>
      <c r="B3" s="9">
        <v>67</v>
      </c>
      <c r="C3" s="9" t="str">
        <f t="shared" ref="C3:C17" si="0">IF(B3&gt;=75,"A",IF(B3&gt;=60,"B",IF(B3&gt;=40,"C","Fail")))</f>
        <v>B</v>
      </c>
    </row>
    <row r="4" spans="1:13" x14ac:dyDescent="0.3">
      <c r="A4" s="9" t="s">
        <v>8</v>
      </c>
      <c r="B4" s="9">
        <v>45</v>
      </c>
      <c r="C4" s="9" t="str">
        <f t="shared" si="0"/>
        <v>C</v>
      </c>
    </row>
    <row r="5" spans="1:13" x14ac:dyDescent="0.3">
      <c r="A5" s="9" t="s">
        <v>9</v>
      </c>
      <c r="B5" s="9">
        <v>33</v>
      </c>
      <c r="C5" s="9" t="str">
        <f t="shared" si="0"/>
        <v>Fail</v>
      </c>
    </row>
    <row r="6" spans="1:13" x14ac:dyDescent="0.3">
      <c r="A6" s="9" t="s">
        <v>10</v>
      </c>
      <c r="B6" s="9">
        <v>90</v>
      </c>
      <c r="C6" s="9" t="str">
        <f t="shared" si="0"/>
        <v>A</v>
      </c>
    </row>
    <row r="7" spans="1:13" x14ac:dyDescent="0.3">
      <c r="A7" s="10" t="s">
        <v>14</v>
      </c>
      <c r="B7" s="11">
        <v>63</v>
      </c>
      <c r="C7" s="9" t="str">
        <f t="shared" si="0"/>
        <v>B</v>
      </c>
    </row>
    <row r="8" spans="1:13" x14ac:dyDescent="0.3">
      <c r="A8" s="10" t="s">
        <v>15</v>
      </c>
      <c r="B8" s="11">
        <v>59</v>
      </c>
      <c r="C8" s="9" t="str">
        <f t="shared" si="0"/>
        <v>C</v>
      </c>
    </row>
    <row r="9" spans="1:13" x14ac:dyDescent="0.3">
      <c r="A9" s="10" t="s">
        <v>16</v>
      </c>
      <c r="B9" s="11">
        <v>67</v>
      </c>
      <c r="C9" s="9" t="str">
        <f t="shared" si="0"/>
        <v>B</v>
      </c>
    </row>
    <row r="10" spans="1:13" ht="14.4" customHeight="1" x14ac:dyDescent="0.3">
      <c r="A10" s="10" t="s">
        <v>17</v>
      </c>
      <c r="B10" s="11">
        <v>46</v>
      </c>
      <c r="C10" s="9" t="str">
        <f t="shared" si="0"/>
        <v>C</v>
      </c>
      <c r="K10" s="1" t="s">
        <v>35</v>
      </c>
      <c r="L10" s="2"/>
      <c r="M10" s="2"/>
    </row>
    <row r="11" spans="1:13" ht="16.8" customHeight="1" thickBot="1" x14ac:dyDescent="0.35">
      <c r="A11" s="10" t="s">
        <v>18</v>
      </c>
      <c r="B11" s="11">
        <v>74</v>
      </c>
      <c r="C11" s="9" t="str">
        <f t="shared" si="0"/>
        <v>B</v>
      </c>
      <c r="K11" s="3" t="s">
        <v>1</v>
      </c>
      <c r="L11" s="2"/>
      <c r="M11" s="2"/>
    </row>
    <row r="12" spans="1:13" ht="15" thickBot="1" x14ac:dyDescent="0.35">
      <c r="A12" s="10" t="s">
        <v>19</v>
      </c>
      <c r="B12" s="11">
        <v>25</v>
      </c>
      <c r="C12" s="9" t="str">
        <f t="shared" si="0"/>
        <v>Fail</v>
      </c>
      <c r="K12" s="4" t="s">
        <v>3</v>
      </c>
      <c r="L12" s="4" t="s">
        <v>4</v>
      </c>
      <c r="M12" s="4" t="s">
        <v>36</v>
      </c>
    </row>
    <row r="13" spans="1:13" ht="15" thickBot="1" x14ac:dyDescent="0.35">
      <c r="A13" s="10" t="s">
        <v>20</v>
      </c>
      <c r="B13" s="11">
        <v>46</v>
      </c>
      <c r="C13" s="9" t="str">
        <f t="shared" si="0"/>
        <v>C</v>
      </c>
      <c r="K13" s="5" t="s">
        <v>6</v>
      </c>
      <c r="L13" s="5">
        <v>82</v>
      </c>
      <c r="M13" s="5"/>
    </row>
    <row r="14" spans="1:13" ht="15" thickBot="1" x14ac:dyDescent="0.35">
      <c r="A14" s="10" t="s">
        <v>21</v>
      </c>
      <c r="B14" s="11">
        <v>65</v>
      </c>
      <c r="C14" s="9" t="str">
        <f t="shared" si="0"/>
        <v>B</v>
      </c>
      <c r="K14" s="5" t="s">
        <v>7</v>
      </c>
      <c r="L14" s="5">
        <v>67</v>
      </c>
      <c r="M14" s="5"/>
    </row>
    <row r="15" spans="1:13" ht="15" thickBot="1" x14ac:dyDescent="0.35">
      <c r="A15" s="10" t="s">
        <v>22</v>
      </c>
      <c r="B15" s="11">
        <v>80</v>
      </c>
      <c r="C15" s="9" t="str">
        <f t="shared" si="0"/>
        <v>A</v>
      </c>
      <c r="K15" s="5" t="s">
        <v>8</v>
      </c>
      <c r="L15" s="5">
        <v>45</v>
      </c>
      <c r="M15" s="5"/>
    </row>
    <row r="16" spans="1:13" ht="15" thickBot="1" x14ac:dyDescent="0.35">
      <c r="A16" s="10" t="s">
        <v>23</v>
      </c>
      <c r="B16" s="11">
        <v>71</v>
      </c>
      <c r="C16" s="9" t="str">
        <f t="shared" si="0"/>
        <v>B</v>
      </c>
      <c r="K16" s="5" t="s">
        <v>9</v>
      </c>
      <c r="L16" s="5">
        <v>33</v>
      </c>
      <c r="M16" s="5"/>
    </row>
    <row r="17" spans="1:13" ht="15" thickBot="1" x14ac:dyDescent="0.35">
      <c r="A17" s="10" t="s">
        <v>34</v>
      </c>
      <c r="B17" s="11">
        <v>29</v>
      </c>
      <c r="C17" s="9" t="str">
        <f t="shared" si="0"/>
        <v>Fail</v>
      </c>
      <c r="K17" s="5" t="s">
        <v>10</v>
      </c>
      <c r="L17" s="5">
        <v>90</v>
      </c>
      <c r="M17" s="5"/>
    </row>
    <row r="18" spans="1:13" ht="20.399999999999999" x14ac:dyDescent="0.3">
      <c r="K18" s="3" t="s">
        <v>11</v>
      </c>
      <c r="L18" s="2"/>
      <c r="M18" s="2"/>
    </row>
    <row r="19" spans="1:13" ht="15" x14ac:dyDescent="0.3">
      <c r="K19" s="6" t="s">
        <v>37</v>
      </c>
      <c r="L19" s="2"/>
      <c r="M19" s="2"/>
    </row>
    <row r="20" spans="1:13" ht="15" x14ac:dyDescent="0.3">
      <c r="K20" s="6" t="s">
        <v>38</v>
      </c>
      <c r="L20" s="2"/>
      <c r="M20" s="2"/>
    </row>
    <row r="21" spans="1:13" ht="15" x14ac:dyDescent="0.3">
      <c r="K21" s="6" t="s">
        <v>39</v>
      </c>
      <c r="L21" s="2"/>
      <c r="M21" s="2"/>
    </row>
    <row r="22" spans="1:13" ht="15" x14ac:dyDescent="0.3">
      <c r="K22" s="6" t="s">
        <v>40</v>
      </c>
      <c r="L22" s="2"/>
      <c r="M22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405D55-A0CC-4316-91DE-4C787DCFCA62}">
  <dimension ref="A1:N17"/>
  <sheetViews>
    <sheetView workbookViewId="0">
      <selection activeCell="L22" sqref="L22"/>
    </sheetView>
  </sheetViews>
  <sheetFormatPr defaultRowHeight="14.4" x14ac:dyDescent="0.3"/>
  <cols>
    <col min="3" max="3" width="11.6640625" customWidth="1"/>
    <col min="4" max="4" width="13.77734375" customWidth="1"/>
    <col min="9" max="9" width="9.6640625" customWidth="1"/>
    <col min="13" max="13" width="17.33203125" customWidth="1"/>
  </cols>
  <sheetData>
    <row r="1" spans="1:14" ht="28.8" x14ac:dyDescent="0.3">
      <c r="A1" s="14" t="s">
        <v>42</v>
      </c>
      <c r="B1" s="12" t="s">
        <v>43</v>
      </c>
      <c r="C1" s="12" t="s">
        <v>44</v>
      </c>
      <c r="D1" s="12" t="s">
        <v>45</v>
      </c>
    </row>
    <row r="2" spans="1:14" x14ac:dyDescent="0.3">
      <c r="A2" s="9" t="s">
        <v>28</v>
      </c>
      <c r="B2" s="9">
        <v>25</v>
      </c>
      <c r="C2" s="9">
        <v>2</v>
      </c>
      <c r="D2" s="9" t="str">
        <f>IF(AND(B2&gt;=21,C2&gt;=1),"Eligible","Not Eligible")</f>
        <v>Eligible</v>
      </c>
    </row>
    <row r="3" spans="1:14" x14ac:dyDescent="0.3">
      <c r="A3" s="9" t="s">
        <v>29</v>
      </c>
      <c r="B3" s="9">
        <v>20</v>
      </c>
      <c r="C3" s="9">
        <v>1</v>
      </c>
      <c r="D3" s="9" t="str">
        <f t="shared" ref="D3:D16" si="0">IF(AND(B3&gt;=21,C3&gt;=1),"Eligible","Not Eligible")</f>
        <v>Not Eligible</v>
      </c>
    </row>
    <row r="4" spans="1:14" x14ac:dyDescent="0.3">
      <c r="A4" s="9" t="s">
        <v>30</v>
      </c>
      <c r="B4" s="9">
        <v>30</v>
      </c>
      <c r="C4" s="9">
        <v>5</v>
      </c>
      <c r="D4" s="9" t="str">
        <f t="shared" si="0"/>
        <v>Eligible</v>
      </c>
    </row>
    <row r="5" spans="1:14" x14ac:dyDescent="0.3">
      <c r="A5" s="9" t="s">
        <v>31</v>
      </c>
      <c r="B5" s="9">
        <v>22</v>
      </c>
      <c r="C5" s="9">
        <v>0</v>
      </c>
      <c r="D5" s="9" t="str">
        <f t="shared" si="0"/>
        <v>Not Eligible</v>
      </c>
    </row>
    <row r="6" spans="1:14" x14ac:dyDescent="0.3">
      <c r="A6" s="10" t="s">
        <v>14</v>
      </c>
      <c r="B6" s="11">
        <v>24</v>
      </c>
      <c r="C6" s="11">
        <v>1</v>
      </c>
      <c r="D6" s="9" t="str">
        <f t="shared" si="0"/>
        <v>Eligible</v>
      </c>
    </row>
    <row r="7" spans="1:14" x14ac:dyDescent="0.3">
      <c r="A7" s="10" t="s">
        <v>15</v>
      </c>
      <c r="B7" s="11">
        <v>27</v>
      </c>
      <c r="C7" s="11">
        <v>2</v>
      </c>
      <c r="D7" s="9" t="str">
        <f t="shared" si="0"/>
        <v>Eligible</v>
      </c>
    </row>
    <row r="8" spans="1:14" ht="17.399999999999999" customHeight="1" x14ac:dyDescent="0.3">
      <c r="A8" s="10" t="s">
        <v>16</v>
      </c>
      <c r="B8" s="11">
        <v>28</v>
      </c>
      <c r="C8" s="11">
        <v>2</v>
      </c>
      <c r="D8" s="9" t="str">
        <f t="shared" si="0"/>
        <v>Eligible</v>
      </c>
      <c r="K8" s="1" t="s">
        <v>41</v>
      </c>
      <c r="L8" s="2"/>
      <c r="M8" s="2"/>
      <c r="N8" s="2"/>
    </row>
    <row r="9" spans="1:14" ht="13.8" customHeight="1" thickBot="1" x14ac:dyDescent="0.35">
      <c r="A9" s="10" t="s">
        <v>17</v>
      </c>
      <c r="B9" s="11">
        <v>24</v>
      </c>
      <c r="C9" s="11">
        <v>4</v>
      </c>
      <c r="D9" s="9" t="str">
        <f t="shared" si="0"/>
        <v>Eligible</v>
      </c>
      <c r="K9" s="3" t="s">
        <v>1</v>
      </c>
      <c r="L9" s="2"/>
      <c r="M9" s="2"/>
      <c r="N9" s="2"/>
    </row>
    <row r="10" spans="1:14" ht="15" customHeight="1" thickBot="1" x14ac:dyDescent="0.35">
      <c r="A10" s="10" t="s">
        <v>18</v>
      </c>
      <c r="B10" s="11">
        <v>26</v>
      </c>
      <c r="C10" s="11">
        <v>0</v>
      </c>
      <c r="D10" s="9" t="str">
        <f t="shared" si="0"/>
        <v>Not Eligible</v>
      </c>
      <c r="K10" s="4" t="s">
        <v>42</v>
      </c>
      <c r="L10" s="4" t="s">
        <v>43</v>
      </c>
      <c r="M10" s="4" t="s">
        <v>44</v>
      </c>
      <c r="N10" s="4" t="s">
        <v>45</v>
      </c>
    </row>
    <row r="11" spans="1:14" ht="15" thickBot="1" x14ac:dyDescent="0.35">
      <c r="A11" s="10" t="s">
        <v>19</v>
      </c>
      <c r="B11" s="11">
        <v>21</v>
      </c>
      <c r="C11" s="11">
        <v>4</v>
      </c>
      <c r="D11" s="9" t="str">
        <f t="shared" si="0"/>
        <v>Eligible</v>
      </c>
      <c r="K11" s="5" t="s">
        <v>28</v>
      </c>
      <c r="L11" s="5">
        <v>25</v>
      </c>
      <c r="M11" s="5">
        <v>2</v>
      </c>
      <c r="N11" s="5"/>
    </row>
    <row r="12" spans="1:14" ht="15" thickBot="1" x14ac:dyDescent="0.35">
      <c r="A12" s="10" t="s">
        <v>20</v>
      </c>
      <c r="B12" s="11">
        <v>22</v>
      </c>
      <c r="C12" s="11">
        <v>0</v>
      </c>
      <c r="D12" s="9" t="str">
        <f t="shared" si="0"/>
        <v>Not Eligible</v>
      </c>
      <c r="K12" s="5" t="s">
        <v>29</v>
      </c>
      <c r="L12" s="5">
        <v>20</v>
      </c>
      <c r="M12" s="5">
        <v>1</v>
      </c>
      <c r="N12" s="5"/>
    </row>
    <row r="13" spans="1:14" ht="15" thickBot="1" x14ac:dyDescent="0.35">
      <c r="A13" s="10" t="s">
        <v>21</v>
      </c>
      <c r="B13" s="11">
        <v>25</v>
      </c>
      <c r="C13" s="11">
        <v>4</v>
      </c>
      <c r="D13" s="9" t="str">
        <f t="shared" si="0"/>
        <v>Eligible</v>
      </c>
      <c r="K13" s="5" t="s">
        <v>30</v>
      </c>
      <c r="L13" s="5">
        <v>30</v>
      </c>
      <c r="M13" s="5">
        <v>5</v>
      </c>
      <c r="N13" s="5"/>
    </row>
    <row r="14" spans="1:14" ht="15" thickBot="1" x14ac:dyDescent="0.35">
      <c r="A14" s="10" t="s">
        <v>22</v>
      </c>
      <c r="B14" s="11">
        <v>26</v>
      </c>
      <c r="C14" s="11">
        <v>5</v>
      </c>
      <c r="D14" s="9" t="str">
        <f t="shared" si="0"/>
        <v>Eligible</v>
      </c>
      <c r="K14" s="5" t="s">
        <v>31</v>
      </c>
      <c r="L14" s="5">
        <v>22</v>
      </c>
      <c r="M14" s="5">
        <v>0</v>
      </c>
      <c r="N14" s="5"/>
    </row>
    <row r="15" spans="1:14" ht="16.2" customHeight="1" x14ac:dyDescent="0.3">
      <c r="A15" s="10" t="s">
        <v>23</v>
      </c>
      <c r="B15" s="11">
        <v>23</v>
      </c>
      <c r="C15" s="11">
        <v>5</v>
      </c>
      <c r="D15" s="9" t="str">
        <f t="shared" si="0"/>
        <v>Eligible</v>
      </c>
      <c r="K15" s="3" t="s">
        <v>11</v>
      </c>
      <c r="L15" s="2"/>
      <c r="M15" s="2"/>
      <c r="N15" s="2"/>
    </row>
    <row r="16" spans="1:14" ht="15" x14ac:dyDescent="0.3">
      <c r="A16" s="10" t="s">
        <v>34</v>
      </c>
      <c r="B16" s="11">
        <v>21</v>
      </c>
      <c r="C16" s="11">
        <v>2</v>
      </c>
      <c r="D16" s="9" t="str">
        <f t="shared" si="0"/>
        <v>Eligible</v>
      </c>
      <c r="K16" s="6" t="s">
        <v>46</v>
      </c>
      <c r="L16" s="2"/>
      <c r="M16" s="2"/>
      <c r="N16" s="2"/>
    </row>
    <row r="17" spans="3:3" x14ac:dyDescent="0.3">
      <c r="C17" s="7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8BF3CE-31FF-4992-BB2A-AD4156A06A05}">
  <dimension ref="A1:N16"/>
  <sheetViews>
    <sheetView workbookViewId="0">
      <selection activeCell="F16" sqref="F16"/>
    </sheetView>
  </sheetViews>
  <sheetFormatPr defaultRowHeight="14.4" x14ac:dyDescent="0.3"/>
  <cols>
    <col min="1" max="1" width="17.109375" customWidth="1"/>
    <col min="2" max="2" width="13.77734375" customWidth="1"/>
    <col min="3" max="3" width="14.109375" customWidth="1"/>
    <col min="4" max="4" width="12.21875" customWidth="1"/>
    <col min="10" max="10" width="9.44140625" customWidth="1"/>
    <col min="11" max="11" width="14.6640625" customWidth="1"/>
    <col min="12" max="12" width="15" customWidth="1"/>
    <col min="13" max="13" width="21.109375" customWidth="1"/>
  </cols>
  <sheetData>
    <row r="1" spans="1:14" ht="28.8" x14ac:dyDescent="0.3">
      <c r="A1" s="8" t="s">
        <v>3</v>
      </c>
      <c r="B1" s="8" t="s">
        <v>48</v>
      </c>
      <c r="C1" s="12" t="s">
        <v>49</v>
      </c>
      <c r="D1" s="8" t="s">
        <v>45</v>
      </c>
    </row>
    <row r="2" spans="1:14" x14ac:dyDescent="0.3">
      <c r="A2" s="9" t="s">
        <v>6</v>
      </c>
      <c r="B2" s="9">
        <v>85</v>
      </c>
      <c r="C2" s="9" t="s">
        <v>50</v>
      </c>
      <c r="D2" s="9" t="str">
        <f>IF(AND(B2&gt;=75, C2="Yes"),"Eligible", "Not Eligible")</f>
        <v>Eligible</v>
      </c>
    </row>
    <row r="3" spans="1:14" x14ac:dyDescent="0.3">
      <c r="A3" s="9" t="s">
        <v>7</v>
      </c>
      <c r="B3" s="9">
        <v>72</v>
      </c>
      <c r="C3" s="9" t="s">
        <v>50</v>
      </c>
      <c r="D3" s="9" t="str">
        <f t="shared" ref="D3:D16" si="0">IF(AND(B3&gt;=75, C3="Yes"),"Eligible", "Not Eligible")</f>
        <v>Not Eligible</v>
      </c>
    </row>
    <row r="4" spans="1:14" x14ac:dyDescent="0.3">
      <c r="A4" s="9" t="s">
        <v>8</v>
      </c>
      <c r="B4" s="9">
        <v>90</v>
      </c>
      <c r="C4" s="9" t="s">
        <v>51</v>
      </c>
      <c r="D4" s="9" t="str">
        <f t="shared" si="0"/>
        <v>Not Eligible</v>
      </c>
    </row>
    <row r="5" spans="1:14" x14ac:dyDescent="0.3">
      <c r="A5" s="9" t="s">
        <v>9</v>
      </c>
      <c r="B5" s="9">
        <v>80</v>
      </c>
      <c r="C5" s="9" t="s">
        <v>50</v>
      </c>
      <c r="D5" s="9" t="str">
        <f t="shared" si="0"/>
        <v>Eligible</v>
      </c>
    </row>
    <row r="6" spans="1:14" x14ac:dyDescent="0.3">
      <c r="A6" s="10" t="s">
        <v>14</v>
      </c>
      <c r="B6" s="11">
        <v>95</v>
      </c>
      <c r="C6" s="9" t="s">
        <v>50</v>
      </c>
      <c r="D6" s="9" t="str">
        <f t="shared" si="0"/>
        <v>Eligible</v>
      </c>
    </row>
    <row r="7" spans="1:14" x14ac:dyDescent="0.3">
      <c r="A7" s="10" t="s">
        <v>15</v>
      </c>
      <c r="B7" s="11">
        <v>88</v>
      </c>
      <c r="C7" s="9" t="s">
        <v>51</v>
      </c>
      <c r="D7" s="9" t="str">
        <f t="shared" si="0"/>
        <v>Not Eligible</v>
      </c>
    </row>
    <row r="8" spans="1:14" ht="15" customHeight="1" x14ac:dyDescent="0.3">
      <c r="A8" s="10" t="s">
        <v>16</v>
      </c>
      <c r="B8" s="11">
        <v>95</v>
      </c>
      <c r="C8" s="9" t="s">
        <v>50</v>
      </c>
      <c r="D8" s="9" t="str">
        <f t="shared" si="0"/>
        <v>Eligible</v>
      </c>
      <c r="K8" s="1" t="s">
        <v>47</v>
      </c>
      <c r="L8" s="2"/>
      <c r="M8" s="2"/>
      <c r="N8" s="2"/>
    </row>
    <row r="9" spans="1:14" ht="16.2" customHeight="1" thickBot="1" x14ac:dyDescent="0.35">
      <c r="A9" s="10" t="s">
        <v>17</v>
      </c>
      <c r="B9" s="11">
        <v>73</v>
      </c>
      <c r="C9" s="9" t="s">
        <v>50</v>
      </c>
      <c r="D9" s="9" t="str">
        <f t="shared" si="0"/>
        <v>Not Eligible</v>
      </c>
      <c r="K9" s="3" t="s">
        <v>1</v>
      </c>
      <c r="L9" s="2"/>
      <c r="M9" s="2"/>
      <c r="N9" s="2"/>
    </row>
    <row r="10" spans="1:14" ht="15" thickBot="1" x14ac:dyDescent="0.35">
      <c r="A10" s="10" t="s">
        <v>18</v>
      </c>
      <c r="B10" s="11">
        <v>66</v>
      </c>
      <c r="C10" s="9" t="s">
        <v>50</v>
      </c>
      <c r="D10" s="9" t="str">
        <f t="shared" si="0"/>
        <v>Not Eligible</v>
      </c>
      <c r="K10" s="4" t="s">
        <v>3</v>
      </c>
      <c r="L10" s="4" t="s">
        <v>48</v>
      </c>
      <c r="M10" s="4" t="s">
        <v>49</v>
      </c>
      <c r="N10" s="4" t="s">
        <v>45</v>
      </c>
    </row>
    <row r="11" spans="1:14" ht="15" thickBot="1" x14ac:dyDescent="0.35">
      <c r="A11" s="10" t="s">
        <v>19</v>
      </c>
      <c r="B11" s="11">
        <v>88</v>
      </c>
      <c r="C11" s="9" t="s">
        <v>51</v>
      </c>
      <c r="D11" s="9" t="str">
        <f t="shared" si="0"/>
        <v>Not Eligible</v>
      </c>
      <c r="K11" s="5" t="s">
        <v>6</v>
      </c>
      <c r="L11" s="5">
        <v>85</v>
      </c>
      <c r="M11" s="5" t="s">
        <v>50</v>
      </c>
      <c r="N11" s="5"/>
    </row>
    <row r="12" spans="1:14" ht="15" thickBot="1" x14ac:dyDescent="0.35">
      <c r="A12" s="10" t="s">
        <v>20</v>
      </c>
      <c r="B12" s="11">
        <v>69</v>
      </c>
      <c r="C12" s="9" t="s">
        <v>50</v>
      </c>
      <c r="D12" s="9" t="str">
        <f t="shared" si="0"/>
        <v>Not Eligible</v>
      </c>
      <c r="K12" s="5" t="s">
        <v>7</v>
      </c>
      <c r="L12" s="5">
        <v>72</v>
      </c>
      <c r="M12" s="5" t="s">
        <v>50</v>
      </c>
      <c r="N12" s="5"/>
    </row>
    <row r="13" spans="1:14" ht="15" thickBot="1" x14ac:dyDescent="0.35">
      <c r="A13" s="10" t="s">
        <v>21</v>
      </c>
      <c r="B13" s="11">
        <v>92</v>
      </c>
      <c r="C13" s="9" t="s">
        <v>50</v>
      </c>
      <c r="D13" s="9" t="str">
        <f t="shared" si="0"/>
        <v>Eligible</v>
      </c>
      <c r="K13" s="5" t="s">
        <v>8</v>
      </c>
      <c r="L13" s="5">
        <v>90</v>
      </c>
      <c r="M13" s="5" t="s">
        <v>51</v>
      </c>
      <c r="N13" s="5"/>
    </row>
    <row r="14" spans="1:14" ht="15" thickBot="1" x14ac:dyDescent="0.35">
      <c r="A14" s="10" t="s">
        <v>22</v>
      </c>
      <c r="B14" s="11">
        <v>61</v>
      </c>
      <c r="C14" s="9" t="s">
        <v>50</v>
      </c>
      <c r="D14" s="9" t="str">
        <f t="shared" si="0"/>
        <v>Not Eligible</v>
      </c>
      <c r="K14" s="5" t="s">
        <v>9</v>
      </c>
      <c r="L14" s="5">
        <v>80</v>
      </c>
      <c r="M14" s="5" t="s">
        <v>50</v>
      </c>
      <c r="N14" s="5"/>
    </row>
    <row r="15" spans="1:14" ht="14.4" customHeight="1" x14ac:dyDescent="0.3">
      <c r="A15" s="10" t="s">
        <v>23</v>
      </c>
      <c r="B15" s="11">
        <v>56</v>
      </c>
      <c r="C15" s="9" t="s">
        <v>51</v>
      </c>
      <c r="D15" s="9" t="str">
        <f t="shared" si="0"/>
        <v>Not Eligible</v>
      </c>
      <c r="K15" s="3" t="s">
        <v>11</v>
      </c>
      <c r="L15" s="2"/>
      <c r="M15" s="2"/>
      <c r="N15" s="2"/>
    </row>
    <row r="16" spans="1:14" ht="15" x14ac:dyDescent="0.3">
      <c r="A16" s="10" t="s">
        <v>34</v>
      </c>
      <c r="B16" s="11">
        <v>71</v>
      </c>
      <c r="C16" s="9" t="s">
        <v>50</v>
      </c>
      <c r="D16" s="9" t="str">
        <f t="shared" si="0"/>
        <v>Not Eligible</v>
      </c>
      <c r="K16" s="6" t="s">
        <v>52</v>
      </c>
      <c r="L16" s="2"/>
      <c r="M16" s="2"/>
      <c r="N16" s="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FEFE1E-2989-4117-8803-B7654AA017CE}">
  <dimension ref="A1:P16"/>
  <sheetViews>
    <sheetView workbookViewId="0">
      <selection activeCell="D16" sqref="D16"/>
    </sheetView>
  </sheetViews>
  <sheetFormatPr defaultRowHeight="14.4" x14ac:dyDescent="0.3"/>
  <cols>
    <col min="1" max="1" width="12.77734375" customWidth="1"/>
    <col min="2" max="2" width="10.44140625" customWidth="1"/>
    <col min="3" max="3" width="12.44140625" customWidth="1"/>
    <col min="4" max="4" width="11.77734375" customWidth="1"/>
    <col min="13" max="13" width="16.77734375" customWidth="1"/>
    <col min="14" max="14" width="18.33203125" customWidth="1"/>
    <col min="15" max="15" width="11.77734375" customWidth="1"/>
    <col min="16" max="16" width="10.33203125" customWidth="1"/>
  </cols>
  <sheetData>
    <row r="1" spans="1:16" ht="28.8" x14ac:dyDescent="0.3">
      <c r="A1" s="12" t="s">
        <v>54</v>
      </c>
      <c r="B1" s="12" t="s">
        <v>55</v>
      </c>
      <c r="C1" s="12" t="s">
        <v>56</v>
      </c>
      <c r="D1" s="12" t="s">
        <v>57</v>
      </c>
    </row>
    <row r="2" spans="1:16" x14ac:dyDescent="0.3">
      <c r="A2" s="13" t="s">
        <v>58</v>
      </c>
      <c r="B2" s="13">
        <v>9000</v>
      </c>
      <c r="C2" s="13" t="s">
        <v>51</v>
      </c>
      <c r="D2" s="9" t="str">
        <f>IF(OR(B2&gt;=10000, C2="Yes"),"Discount", "No Discount")</f>
        <v>No Discount</v>
      </c>
    </row>
    <row r="3" spans="1:16" x14ac:dyDescent="0.3">
      <c r="A3" s="13" t="s">
        <v>59</v>
      </c>
      <c r="B3" s="13">
        <v>12000</v>
      </c>
      <c r="C3" s="13" t="s">
        <v>51</v>
      </c>
      <c r="D3" s="9" t="str">
        <f t="shared" ref="D3:D16" si="0">IF(OR(B3&gt;=10000, C3="Yes"),"Discount", "No Discount")</f>
        <v>Discount</v>
      </c>
    </row>
    <row r="4" spans="1:16" x14ac:dyDescent="0.3">
      <c r="A4" s="13" t="s">
        <v>8</v>
      </c>
      <c r="B4" s="13">
        <v>4000</v>
      </c>
      <c r="C4" s="13" t="s">
        <v>50</v>
      </c>
      <c r="D4" s="9" t="str">
        <f t="shared" si="0"/>
        <v>Discount</v>
      </c>
    </row>
    <row r="5" spans="1:16" x14ac:dyDescent="0.3">
      <c r="A5" s="13" t="s">
        <v>60</v>
      </c>
      <c r="B5" s="13">
        <v>3000</v>
      </c>
      <c r="C5" s="13" t="s">
        <v>51</v>
      </c>
      <c r="D5" s="9" t="str">
        <f t="shared" si="0"/>
        <v>No Discount</v>
      </c>
    </row>
    <row r="6" spans="1:16" x14ac:dyDescent="0.3">
      <c r="A6" s="10" t="s">
        <v>14</v>
      </c>
      <c r="B6" s="11">
        <v>4091</v>
      </c>
      <c r="C6" s="9" t="s">
        <v>51</v>
      </c>
      <c r="D6" s="9" t="str">
        <f t="shared" si="0"/>
        <v>No Discount</v>
      </c>
    </row>
    <row r="7" spans="1:16" x14ac:dyDescent="0.3">
      <c r="A7" s="10" t="s">
        <v>15</v>
      </c>
      <c r="B7" s="11">
        <v>7900</v>
      </c>
      <c r="C7" s="9" t="s">
        <v>50</v>
      </c>
      <c r="D7" s="9" t="str">
        <f t="shared" si="0"/>
        <v>Discount</v>
      </c>
    </row>
    <row r="8" spans="1:16" ht="15" customHeight="1" x14ac:dyDescent="0.3">
      <c r="A8" s="10" t="s">
        <v>16</v>
      </c>
      <c r="B8" s="11">
        <v>9690</v>
      </c>
      <c r="C8" s="9" t="s">
        <v>50</v>
      </c>
      <c r="D8" s="9" t="str">
        <f t="shared" si="0"/>
        <v>Discount</v>
      </c>
      <c r="M8" s="1" t="s">
        <v>53</v>
      </c>
      <c r="N8" s="2"/>
      <c r="O8" s="2"/>
      <c r="P8" s="2"/>
    </row>
    <row r="9" spans="1:16" ht="15.6" customHeight="1" thickBot="1" x14ac:dyDescent="0.35">
      <c r="A9" s="10" t="s">
        <v>17</v>
      </c>
      <c r="B9" s="11">
        <v>8762</v>
      </c>
      <c r="C9" s="9" t="s">
        <v>50</v>
      </c>
      <c r="D9" s="9" t="str">
        <f t="shared" si="0"/>
        <v>Discount</v>
      </c>
      <c r="M9" s="3" t="s">
        <v>1</v>
      </c>
      <c r="N9" s="2"/>
      <c r="O9" s="2"/>
      <c r="P9" s="2"/>
    </row>
    <row r="10" spans="1:16" ht="15" thickBot="1" x14ac:dyDescent="0.35">
      <c r="A10" s="10" t="s">
        <v>18</v>
      </c>
      <c r="B10" s="11">
        <v>14466</v>
      </c>
      <c r="C10" s="9" t="s">
        <v>51</v>
      </c>
      <c r="D10" s="9" t="str">
        <f t="shared" si="0"/>
        <v>Discount</v>
      </c>
      <c r="M10" s="4" t="s">
        <v>54</v>
      </c>
      <c r="N10" s="4" t="s">
        <v>55</v>
      </c>
      <c r="O10" s="4" t="s">
        <v>56</v>
      </c>
      <c r="P10" s="4" t="s">
        <v>57</v>
      </c>
    </row>
    <row r="11" spans="1:16" ht="15" thickBot="1" x14ac:dyDescent="0.35">
      <c r="A11" s="10" t="s">
        <v>19</v>
      </c>
      <c r="B11" s="11">
        <v>3701</v>
      </c>
      <c r="C11" s="9" t="s">
        <v>50</v>
      </c>
      <c r="D11" s="9" t="str">
        <f t="shared" si="0"/>
        <v>Discount</v>
      </c>
      <c r="M11" s="5" t="s">
        <v>58</v>
      </c>
      <c r="N11" s="5">
        <v>9000</v>
      </c>
      <c r="O11" s="5" t="s">
        <v>51</v>
      </c>
      <c r="P11" s="5"/>
    </row>
    <row r="12" spans="1:16" ht="15" thickBot="1" x14ac:dyDescent="0.35">
      <c r="A12" s="10" t="s">
        <v>20</v>
      </c>
      <c r="B12" s="11">
        <v>13059</v>
      </c>
      <c r="C12" s="9" t="s">
        <v>50</v>
      </c>
      <c r="D12" s="9" t="str">
        <f t="shared" si="0"/>
        <v>Discount</v>
      </c>
      <c r="M12" s="5" t="s">
        <v>59</v>
      </c>
      <c r="N12" s="5">
        <v>12000</v>
      </c>
      <c r="O12" s="5" t="s">
        <v>51</v>
      </c>
      <c r="P12" s="5"/>
    </row>
    <row r="13" spans="1:16" ht="15" thickBot="1" x14ac:dyDescent="0.35">
      <c r="A13" s="10" t="s">
        <v>21</v>
      </c>
      <c r="B13" s="11">
        <v>10296</v>
      </c>
      <c r="C13" s="9" t="s">
        <v>50</v>
      </c>
      <c r="D13" s="9" t="str">
        <f t="shared" si="0"/>
        <v>Discount</v>
      </c>
      <c r="M13" s="5" t="s">
        <v>8</v>
      </c>
      <c r="N13" s="5">
        <v>4000</v>
      </c>
      <c r="O13" s="5" t="s">
        <v>50</v>
      </c>
      <c r="P13" s="5"/>
    </row>
    <row r="14" spans="1:16" ht="15" thickBot="1" x14ac:dyDescent="0.35">
      <c r="A14" s="10" t="s">
        <v>22</v>
      </c>
      <c r="B14" s="11">
        <v>8884</v>
      </c>
      <c r="C14" s="9" t="s">
        <v>51</v>
      </c>
      <c r="D14" s="9" t="str">
        <f t="shared" si="0"/>
        <v>No Discount</v>
      </c>
      <c r="M14" s="5" t="s">
        <v>60</v>
      </c>
      <c r="N14" s="5">
        <v>3000</v>
      </c>
      <c r="O14" s="5" t="s">
        <v>51</v>
      </c>
      <c r="P14" s="5"/>
    </row>
    <row r="15" spans="1:16" ht="15" customHeight="1" x14ac:dyDescent="0.3">
      <c r="A15" s="10" t="s">
        <v>23</v>
      </c>
      <c r="B15" s="11">
        <v>12295</v>
      </c>
      <c r="C15" s="9" t="s">
        <v>50</v>
      </c>
      <c r="D15" s="9" t="str">
        <f t="shared" si="0"/>
        <v>Discount</v>
      </c>
      <c r="M15" s="3" t="s">
        <v>11</v>
      </c>
      <c r="N15" s="2"/>
      <c r="O15" s="2"/>
      <c r="P15" s="2"/>
    </row>
    <row r="16" spans="1:16" ht="15" x14ac:dyDescent="0.3">
      <c r="A16" s="10" t="s">
        <v>34</v>
      </c>
      <c r="B16" s="11">
        <v>12651</v>
      </c>
      <c r="C16" s="9" t="s">
        <v>51</v>
      </c>
      <c r="D16" s="9" t="str">
        <f t="shared" si="0"/>
        <v>Discount</v>
      </c>
      <c r="M16" s="6" t="s">
        <v>61</v>
      </c>
      <c r="N16" s="2"/>
      <c r="O16" s="2"/>
      <c r="P16" s="2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056CD2-DF55-499C-8137-F37E910A8183}">
  <dimension ref="A1:O16"/>
  <sheetViews>
    <sheetView workbookViewId="0">
      <selection activeCell="I18" sqref="I18"/>
    </sheetView>
  </sheetViews>
  <sheetFormatPr defaultRowHeight="14.4" x14ac:dyDescent="0.3"/>
  <cols>
    <col min="1" max="1" width="11" customWidth="1"/>
    <col min="2" max="2" width="9.33203125" customWidth="1"/>
    <col min="3" max="3" width="11.5546875" customWidth="1"/>
    <col min="4" max="4" width="11.44140625" customWidth="1"/>
    <col min="14" max="14" width="11.5546875" customWidth="1"/>
    <col min="15" max="15" width="14.77734375" customWidth="1"/>
  </cols>
  <sheetData>
    <row r="1" spans="1:15" x14ac:dyDescent="0.3">
      <c r="A1" s="8" t="s">
        <v>63</v>
      </c>
      <c r="B1" s="8" t="s">
        <v>26</v>
      </c>
      <c r="C1" s="8" t="s">
        <v>64</v>
      </c>
      <c r="D1" s="8" t="s">
        <v>65</v>
      </c>
    </row>
    <row r="2" spans="1:15" x14ac:dyDescent="0.3">
      <c r="A2" s="9" t="s">
        <v>28</v>
      </c>
      <c r="B2" s="9">
        <v>35000</v>
      </c>
      <c r="C2" s="9">
        <v>720</v>
      </c>
      <c r="D2" s="9" t="str">
        <f>IF(OR(B2&gt;=40000,C2&gt;=700),"Approved","Not Approved")</f>
        <v>Approved</v>
      </c>
    </row>
    <row r="3" spans="1:15" x14ac:dyDescent="0.3">
      <c r="A3" s="9" t="s">
        <v>29</v>
      </c>
      <c r="B3" s="9">
        <v>25000</v>
      </c>
      <c r="C3" s="9">
        <v>680</v>
      </c>
      <c r="D3" s="9" t="str">
        <f t="shared" ref="D3:D16" si="0">IF(OR(B3&gt;=40000,C3&gt;=700),"Approved","Not Approved")</f>
        <v>Not Approved</v>
      </c>
    </row>
    <row r="4" spans="1:15" x14ac:dyDescent="0.3">
      <c r="A4" s="9" t="s">
        <v>30</v>
      </c>
      <c r="B4" s="9">
        <v>50000</v>
      </c>
      <c r="C4" s="9">
        <v>650</v>
      </c>
      <c r="D4" s="9" t="str">
        <f t="shared" si="0"/>
        <v>Approved</v>
      </c>
    </row>
    <row r="5" spans="1:15" x14ac:dyDescent="0.3">
      <c r="A5" s="9" t="s">
        <v>31</v>
      </c>
      <c r="B5" s="9">
        <v>20000</v>
      </c>
      <c r="C5" s="9">
        <v>600</v>
      </c>
      <c r="D5" s="9" t="str">
        <f t="shared" si="0"/>
        <v>Not Approved</v>
      </c>
    </row>
    <row r="6" spans="1:15" x14ac:dyDescent="0.3">
      <c r="A6" s="10" t="s">
        <v>14</v>
      </c>
      <c r="B6" s="11">
        <v>38694</v>
      </c>
      <c r="C6" s="11">
        <v>624</v>
      </c>
      <c r="D6" s="9" t="str">
        <f t="shared" si="0"/>
        <v>Not Approved</v>
      </c>
    </row>
    <row r="7" spans="1:15" x14ac:dyDescent="0.3">
      <c r="A7" s="10" t="s">
        <v>15</v>
      </c>
      <c r="B7" s="11">
        <v>22772</v>
      </c>
      <c r="C7" s="11">
        <v>680</v>
      </c>
      <c r="D7" s="9" t="str">
        <f t="shared" si="0"/>
        <v>Not Approved</v>
      </c>
    </row>
    <row r="8" spans="1:15" ht="15.6" customHeight="1" x14ac:dyDescent="0.3">
      <c r="A8" s="10" t="s">
        <v>16</v>
      </c>
      <c r="B8" s="11">
        <v>30376</v>
      </c>
      <c r="C8" s="11">
        <v>603</v>
      </c>
      <c r="D8" s="9" t="str">
        <f t="shared" si="0"/>
        <v>Not Approved</v>
      </c>
      <c r="L8" s="1" t="s">
        <v>62</v>
      </c>
      <c r="M8" s="2"/>
      <c r="N8" s="2"/>
      <c r="O8" s="2"/>
    </row>
    <row r="9" spans="1:15" ht="15" customHeight="1" thickBot="1" x14ac:dyDescent="0.35">
      <c r="A9" s="10" t="s">
        <v>17</v>
      </c>
      <c r="B9" s="11">
        <v>45646</v>
      </c>
      <c r="C9" s="11">
        <v>612</v>
      </c>
      <c r="D9" s="9" t="str">
        <f t="shared" si="0"/>
        <v>Approved</v>
      </c>
      <c r="L9" s="3" t="s">
        <v>1</v>
      </c>
      <c r="M9" s="2"/>
      <c r="N9" s="2"/>
      <c r="O9" s="2"/>
    </row>
    <row r="10" spans="1:15" ht="15" thickBot="1" x14ac:dyDescent="0.35">
      <c r="A10" s="10" t="s">
        <v>18</v>
      </c>
      <c r="B10" s="11">
        <v>45292</v>
      </c>
      <c r="C10" s="11">
        <v>706</v>
      </c>
      <c r="D10" s="9" t="str">
        <f t="shared" si="0"/>
        <v>Approved</v>
      </c>
      <c r="L10" s="4" t="s">
        <v>63</v>
      </c>
      <c r="M10" s="4" t="s">
        <v>26</v>
      </c>
      <c r="N10" s="4" t="s">
        <v>64</v>
      </c>
      <c r="O10" s="4" t="s">
        <v>65</v>
      </c>
    </row>
    <row r="11" spans="1:15" ht="15" thickBot="1" x14ac:dyDescent="0.35">
      <c r="A11" s="10" t="s">
        <v>19</v>
      </c>
      <c r="B11" s="11">
        <v>50176</v>
      </c>
      <c r="C11" s="11">
        <v>651</v>
      </c>
      <c r="D11" s="9" t="str">
        <f t="shared" si="0"/>
        <v>Approved</v>
      </c>
      <c r="L11" s="5" t="s">
        <v>28</v>
      </c>
      <c r="M11" s="5">
        <v>35000</v>
      </c>
      <c r="N11" s="5">
        <v>720</v>
      </c>
      <c r="O11" s="5"/>
    </row>
    <row r="12" spans="1:15" ht="15" thickBot="1" x14ac:dyDescent="0.35">
      <c r="A12" s="10" t="s">
        <v>20</v>
      </c>
      <c r="B12" s="11">
        <v>35130</v>
      </c>
      <c r="C12" s="11">
        <v>616</v>
      </c>
      <c r="D12" s="9" t="str">
        <f t="shared" si="0"/>
        <v>Not Approved</v>
      </c>
      <c r="L12" s="5" t="s">
        <v>29</v>
      </c>
      <c r="M12" s="5">
        <v>25000</v>
      </c>
      <c r="N12" s="5">
        <v>680</v>
      </c>
      <c r="O12" s="5"/>
    </row>
    <row r="13" spans="1:15" ht="15" thickBot="1" x14ac:dyDescent="0.35">
      <c r="A13" s="10" t="s">
        <v>21</v>
      </c>
      <c r="B13" s="11">
        <v>26230</v>
      </c>
      <c r="C13" s="11">
        <v>711</v>
      </c>
      <c r="D13" s="9" t="str">
        <f t="shared" si="0"/>
        <v>Approved</v>
      </c>
      <c r="L13" s="5" t="s">
        <v>30</v>
      </c>
      <c r="M13" s="5">
        <v>50000</v>
      </c>
      <c r="N13" s="5">
        <v>650</v>
      </c>
      <c r="O13" s="5"/>
    </row>
    <row r="14" spans="1:15" ht="15" thickBot="1" x14ac:dyDescent="0.35">
      <c r="A14" s="10" t="s">
        <v>22</v>
      </c>
      <c r="B14" s="11">
        <v>51629</v>
      </c>
      <c r="C14" s="11">
        <v>602</v>
      </c>
      <c r="D14" s="9" t="str">
        <f t="shared" si="0"/>
        <v>Approved</v>
      </c>
      <c r="L14" s="5" t="s">
        <v>31</v>
      </c>
      <c r="M14" s="5">
        <v>20000</v>
      </c>
      <c r="N14" s="5">
        <v>600</v>
      </c>
      <c r="O14" s="5"/>
    </row>
    <row r="15" spans="1:15" ht="15" customHeight="1" x14ac:dyDescent="0.3">
      <c r="A15" s="10" t="s">
        <v>23</v>
      </c>
      <c r="B15" s="11">
        <v>33472</v>
      </c>
      <c r="C15" s="11">
        <v>623</v>
      </c>
      <c r="D15" s="9" t="str">
        <f t="shared" si="0"/>
        <v>Not Approved</v>
      </c>
      <c r="L15" s="3" t="s">
        <v>11</v>
      </c>
      <c r="M15" s="2"/>
      <c r="N15" s="2"/>
      <c r="O15" s="2"/>
    </row>
    <row r="16" spans="1:15" ht="15" x14ac:dyDescent="0.3">
      <c r="A16" s="10" t="s">
        <v>34</v>
      </c>
      <c r="B16" s="11">
        <v>32990</v>
      </c>
      <c r="C16" s="11">
        <v>675</v>
      </c>
      <c r="D16" s="9" t="str">
        <f t="shared" si="0"/>
        <v>Not Approved</v>
      </c>
      <c r="L16" s="6" t="s">
        <v>66</v>
      </c>
      <c r="M16" s="2"/>
      <c r="N16" s="2"/>
      <c r="O16" s="2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A803A7-2B1D-4CDE-829E-264FD6CFC19E}">
  <dimension ref="A1:N17"/>
  <sheetViews>
    <sheetView workbookViewId="0">
      <selection activeCell="F11" sqref="F11"/>
    </sheetView>
  </sheetViews>
  <sheetFormatPr defaultRowHeight="14.4" x14ac:dyDescent="0.3"/>
  <sheetData>
    <row r="1" spans="1:14" ht="15" thickBot="1" x14ac:dyDescent="0.35">
      <c r="A1" s="4" t="s">
        <v>42</v>
      </c>
      <c r="B1" s="4" t="s">
        <v>68</v>
      </c>
      <c r="C1" s="4" t="s">
        <v>69</v>
      </c>
    </row>
    <row r="2" spans="1:14" ht="15" thickBot="1" x14ac:dyDescent="0.35">
      <c r="A2" s="5" t="s">
        <v>6</v>
      </c>
      <c r="B2" s="5" t="b">
        <v>1</v>
      </c>
      <c r="C2" s="5" t="str">
        <f>IF(NOT(B2=TRUE),"Absent","Present")</f>
        <v>Present</v>
      </c>
    </row>
    <row r="3" spans="1:14" ht="15" thickBot="1" x14ac:dyDescent="0.35">
      <c r="A3" s="5" t="s">
        <v>7</v>
      </c>
      <c r="B3" s="5" t="b">
        <v>0</v>
      </c>
      <c r="C3" s="5" t="str">
        <f t="shared" ref="C3:C16" si="0">IF(NOT(B3=TRUE),"Absent","Present")</f>
        <v>Absent</v>
      </c>
    </row>
    <row r="4" spans="1:14" ht="15" thickBot="1" x14ac:dyDescent="0.35">
      <c r="A4" s="5" t="s">
        <v>8</v>
      </c>
      <c r="B4" s="5" t="b">
        <v>1</v>
      </c>
      <c r="C4" s="5" t="str">
        <f t="shared" si="0"/>
        <v>Present</v>
      </c>
    </row>
    <row r="5" spans="1:14" ht="15" thickBot="1" x14ac:dyDescent="0.35">
      <c r="A5" s="5" t="s">
        <v>9</v>
      </c>
      <c r="B5" s="5" t="b">
        <v>0</v>
      </c>
      <c r="C5" s="5" t="str">
        <f t="shared" si="0"/>
        <v>Absent</v>
      </c>
    </row>
    <row r="6" spans="1:14" ht="15" thickBot="1" x14ac:dyDescent="0.35">
      <c r="A6" s="10" t="s">
        <v>14</v>
      </c>
      <c r="B6" s="5" t="b">
        <v>0</v>
      </c>
      <c r="C6" s="5" t="str">
        <f t="shared" si="0"/>
        <v>Absent</v>
      </c>
    </row>
    <row r="7" spans="1:14" ht="15" thickBot="1" x14ac:dyDescent="0.35">
      <c r="A7" s="10" t="s">
        <v>15</v>
      </c>
      <c r="B7" s="5" t="b">
        <v>1</v>
      </c>
      <c r="C7" s="5" t="str">
        <f t="shared" si="0"/>
        <v>Present</v>
      </c>
    </row>
    <row r="8" spans="1:14" ht="15" customHeight="1" thickBot="1" x14ac:dyDescent="0.35">
      <c r="A8" s="10" t="s">
        <v>16</v>
      </c>
      <c r="B8" s="5" t="b">
        <v>0</v>
      </c>
      <c r="C8" s="5" t="str">
        <f t="shared" si="0"/>
        <v>Absent</v>
      </c>
      <c r="L8" s="1" t="s">
        <v>67</v>
      </c>
      <c r="M8" s="2"/>
      <c r="N8" s="2"/>
    </row>
    <row r="9" spans="1:14" ht="17.399999999999999" customHeight="1" thickBot="1" x14ac:dyDescent="0.35">
      <c r="A9" s="10" t="s">
        <v>17</v>
      </c>
      <c r="B9" s="5" t="b">
        <v>0</v>
      </c>
      <c r="C9" s="5" t="str">
        <f t="shared" si="0"/>
        <v>Absent</v>
      </c>
      <c r="L9" s="3" t="s">
        <v>1</v>
      </c>
      <c r="M9" s="2"/>
      <c r="N9" s="2"/>
    </row>
    <row r="10" spans="1:14" ht="15" thickBot="1" x14ac:dyDescent="0.35">
      <c r="A10" s="10" t="s">
        <v>18</v>
      </c>
      <c r="B10" s="5" t="b">
        <v>1</v>
      </c>
      <c r="C10" s="5" t="str">
        <f t="shared" si="0"/>
        <v>Present</v>
      </c>
      <c r="L10" s="4" t="s">
        <v>42</v>
      </c>
      <c r="M10" s="4" t="s">
        <v>68</v>
      </c>
      <c r="N10" s="4" t="s">
        <v>69</v>
      </c>
    </row>
    <row r="11" spans="1:14" ht="15" thickBot="1" x14ac:dyDescent="0.35">
      <c r="A11" s="10" t="s">
        <v>19</v>
      </c>
      <c r="B11" s="5" t="b">
        <v>0</v>
      </c>
      <c r="C11" s="5" t="str">
        <f t="shared" si="0"/>
        <v>Absent</v>
      </c>
      <c r="L11" s="5" t="s">
        <v>6</v>
      </c>
      <c r="M11" s="5" t="b">
        <v>1</v>
      </c>
      <c r="N11" s="5"/>
    </row>
    <row r="12" spans="1:14" ht="15" thickBot="1" x14ac:dyDescent="0.35">
      <c r="A12" s="10" t="s">
        <v>20</v>
      </c>
      <c r="B12" s="5" t="b">
        <v>0</v>
      </c>
      <c r="C12" s="5" t="str">
        <f t="shared" si="0"/>
        <v>Absent</v>
      </c>
      <c r="L12" s="5" t="s">
        <v>7</v>
      </c>
      <c r="M12" s="5" t="b">
        <v>0</v>
      </c>
      <c r="N12" s="5"/>
    </row>
    <row r="13" spans="1:14" ht="15" thickBot="1" x14ac:dyDescent="0.35">
      <c r="A13" s="10" t="s">
        <v>21</v>
      </c>
      <c r="B13" s="5" t="b">
        <v>0</v>
      </c>
      <c r="C13" s="5" t="str">
        <f t="shared" si="0"/>
        <v>Absent</v>
      </c>
      <c r="L13" s="5" t="s">
        <v>8</v>
      </c>
      <c r="M13" s="5" t="b">
        <v>1</v>
      </c>
      <c r="N13" s="5"/>
    </row>
    <row r="14" spans="1:14" ht="15" thickBot="1" x14ac:dyDescent="0.35">
      <c r="A14" s="10" t="s">
        <v>22</v>
      </c>
      <c r="B14" s="5" t="b">
        <v>1</v>
      </c>
      <c r="C14" s="5" t="str">
        <f t="shared" si="0"/>
        <v>Present</v>
      </c>
      <c r="L14" s="5" t="s">
        <v>9</v>
      </c>
      <c r="M14" s="5" t="b">
        <v>0</v>
      </c>
      <c r="N14" s="5"/>
    </row>
    <row r="15" spans="1:14" ht="18" customHeight="1" thickBot="1" x14ac:dyDescent="0.35">
      <c r="A15" s="10" t="s">
        <v>23</v>
      </c>
      <c r="B15" s="5" t="b">
        <v>0</v>
      </c>
      <c r="C15" s="5" t="str">
        <f t="shared" si="0"/>
        <v>Absent</v>
      </c>
      <c r="L15" s="3" t="s">
        <v>11</v>
      </c>
      <c r="M15" s="2"/>
      <c r="N15" s="2"/>
    </row>
    <row r="16" spans="1:14" ht="15.6" thickBot="1" x14ac:dyDescent="0.35">
      <c r="A16" s="10" t="s">
        <v>34</v>
      </c>
      <c r="B16" s="5" t="b">
        <v>1</v>
      </c>
      <c r="C16" s="5" t="str">
        <f t="shared" si="0"/>
        <v>Present</v>
      </c>
      <c r="L16" s="6" t="s">
        <v>70</v>
      </c>
      <c r="M16" s="2"/>
      <c r="N16" s="2"/>
    </row>
    <row r="17" spans="12:14" ht="15" x14ac:dyDescent="0.3">
      <c r="L17" s="6" t="s">
        <v>71</v>
      </c>
      <c r="M17" s="2"/>
      <c r="N17" s="2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C637B4-BB8D-4687-878E-2EC7C4418B53}">
  <dimension ref="A1:M17"/>
  <sheetViews>
    <sheetView workbookViewId="0">
      <selection activeCell="H17" sqref="H17"/>
    </sheetView>
  </sheetViews>
  <sheetFormatPr defaultRowHeight="14.4" x14ac:dyDescent="0.3"/>
  <cols>
    <col min="1" max="1" width="9.88671875" customWidth="1"/>
    <col min="2" max="2" width="10.44140625" customWidth="1"/>
    <col min="11" max="11" width="11.5546875" customWidth="1"/>
    <col min="12" max="12" width="11.109375" customWidth="1"/>
  </cols>
  <sheetData>
    <row r="1" spans="1:13" x14ac:dyDescent="0.3">
      <c r="A1" s="8" t="s">
        <v>73</v>
      </c>
      <c r="B1" s="8" t="s">
        <v>74</v>
      </c>
      <c r="C1" s="8" t="s">
        <v>5</v>
      </c>
    </row>
    <row r="2" spans="1:13" x14ac:dyDescent="0.3">
      <c r="A2" s="9">
        <v>10</v>
      </c>
      <c r="B2" s="9">
        <v>2</v>
      </c>
      <c r="C2" s="9">
        <f>IFERROR(A2/B2,"Invalid")</f>
        <v>5</v>
      </c>
    </row>
    <row r="3" spans="1:13" x14ac:dyDescent="0.3">
      <c r="A3" s="9">
        <v>15</v>
      </c>
      <c r="B3" s="9">
        <v>0</v>
      </c>
      <c r="C3" s="9" t="str">
        <f t="shared" ref="C3:C16" si="0">IFERROR(A3/B3,"Invalid")</f>
        <v>Invalid</v>
      </c>
    </row>
    <row r="4" spans="1:13" x14ac:dyDescent="0.3">
      <c r="A4" s="9">
        <v>20</v>
      </c>
      <c r="B4" s="9">
        <v>5</v>
      </c>
      <c r="C4" s="9">
        <f t="shared" si="0"/>
        <v>4</v>
      </c>
    </row>
    <row r="5" spans="1:13" x14ac:dyDescent="0.3">
      <c r="A5" s="9">
        <v>8</v>
      </c>
      <c r="B5" s="9">
        <v>0</v>
      </c>
      <c r="C5" s="9" t="str">
        <f t="shared" si="0"/>
        <v>Invalid</v>
      </c>
    </row>
    <row r="6" spans="1:13" x14ac:dyDescent="0.3">
      <c r="A6" s="11">
        <v>28</v>
      </c>
      <c r="B6" s="11">
        <v>6</v>
      </c>
      <c r="C6" s="9">
        <f t="shared" si="0"/>
        <v>4.666666666666667</v>
      </c>
    </row>
    <row r="7" spans="1:13" x14ac:dyDescent="0.3">
      <c r="A7" s="11">
        <v>15</v>
      </c>
      <c r="B7" s="11">
        <v>0</v>
      </c>
      <c r="C7" s="9" t="str">
        <f t="shared" si="0"/>
        <v>Invalid</v>
      </c>
    </row>
    <row r="8" spans="1:13" ht="16.2" customHeight="1" x14ac:dyDescent="0.3">
      <c r="A8" s="11">
        <v>13</v>
      </c>
      <c r="B8" s="11">
        <v>0</v>
      </c>
      <c r="C8" s="9" t="str">
        <f t="shared" si="0"/>
        <v>Invalid</v>
      </c>
      <c r="K8" s="1" t="s">
        <v>72</v>
      </c>
      <c r="L8" s="2"/>
      <c r="M8" s="2"/>
    </row>
    <row r="9" spans="1:13" ht="16.8" customHeight="1" thickBot="1" x14ac:dyDescent="0.35">
      <c r="A9" s="11">
        <v>15</v>
      </c>
      <c r="B9" s="11">
        <v>1</v>
      </c>
      <c r="C9" s="9">
        <f t="shared" si="0"/>
        <v>15</v>
      </c>
      <c r="K9" s="3" t="s">
        <v>1</v>
      </c>
      <c r="L9" s="2"/>
      <c r="M9" s="2"/>
    </row>
    <row r="10" spans="1:13" ht="15" thickBot="1" x14ac:dyDescent="0.35">
      <c r="A10" s="11">
        <v>15</v>
      </c>
      <c r="B10" s="11">
        <v>5</v>
      </c>
      <c r="C10" s="9">
        <f t="shared" si="0"/>
        <v>3</v>
      </c>
      <c r="K10" s="4" t="s">
        <v>73</v>
      </c>
      <c r="L10" s="4" t="s">
        <v>74</v>
      </c>
      <c r="M10" s="4" t="s">
        <v>5</v>
      </c>
    </row>
    <row r="11" spans="1:13" ht="15" thickBot="1" x14ac:dyDescent="0.35">
      <c r="A11" s="11">
        <v>10</v>
      </c>
      <c r="B11" s="11">
        <v>4</v>
      </c>
      <c r="C11" s="9">
        <f t="shared" si="0"/>
        <v>2.5</v>
      </c>
      <c r="K11" s="5">
        <v>10</v>
      </c>
      <c r="L11" s="5">
        <v>2</v>
      </c>
      <c r="M11" s="5"/>
    </row>
    <row r="12" spans="1:13" ht="15" thickBot="1" x14ac:dyDescent="0.35">
      <c r="A12" s="11">
        <v>23</v>
      </c>
      <c r="B12" s="11">
        <v>3</v>
      </c>
      <c r="C12" s="9">
        <f t="shared" si="0"/>
        <v>7.666666666666667</v>
      </c>
      <c r="K12" s="5">
        <v>15</v>
      </c>
      <c r="L12" s="5">
        <v>0</v>
      </c>
      <c r="M12" s="5"/>
    </row>
    <row r="13" spans="1:13" ht="15" thickBot="1" x14ac:dyDescent="0.35">
      <c r="A13" s="11">
        <v>21</v>
      </c>
      <c r="B13" s="11">
        <v>6</v>
      </c>
      <c r="C13" s="9">
        <f t="shared" si="0"/>
        <v>3.5</v>
      </c>
      <c r="K13" s="5">
        <v>20</v>
      </c>
      <c r="L13" s="5">
        <v>5</v>
      </c>
      <c r="M13" s="5"/>
    </row>
    <row r="14" spans="1:13" ht="15" thickBot="1" x14ac:dyDescent="0.35">
      <c r="A14" s="11">
        <v>10</v>
      </c>
      <c r="B14" s="11">
        <v>4</v>
      </c>
      <c r="C14" s="9">
        <f t="shared" si="0"/>
        <v>2.5</v>
      </c>
      <c r="K14" s="5">
        <v>8</v>
      </c>
      <c r="L14" s="5">
        <v>0</v>
      </c>
      <c r="M14" s="5"/>
    </row>
    <row r="15" spans="1:13" ht="20.399999999999999" x14ac:dyDescent="0.3">
      <c r="A15" s="11">
        <v>26</v>
      </c>
      <c r="B15" s="11">
        <v>1</v>
      </c>
      <c r="C15" s="9">
        <f t="shared" si="0"/>
        <v>26</v>
      </c>
      <c r="K15" s="3" t="s">
        <v>11</v>
      </c>
      <c r="L15" s="2"/>
      <c r="M15" s="2"/>
    </row>
    <row r="16" spans="1:13" ht="15" x14ac:dyDescent="0.3">
      <c r="A16" s="11">
        <v>21</v>
      </c>
      <c r="B16" s="11">
        <v>4</v>
      </c>
      <c r="C16" s="9">
        <f t="shared" si="0"/>
        <v>5.25</v>
      </c>
      <c r="K16" s="6" t="s">
        <v>75</v>
      </c>
      <c r="L16" s="2"/>
      <c r="M16" s="2"/>
    </row>
    <row r="17" spans="11:13" ht="15" x14ac:dyDescent="0.3">
      <c r="K17" s="6" t="s">
        <v>76</v>
      </c>
      <c r="L17" s="2"/>
      <c r="M17" s="2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DDAADF-0A2B-4381-BC3D-8449C75CA732}">
  <dimension ref="A1:O17"/>
  <sheetViews>
    <sheetView topLeftCell="A6" workbookViewId="0">
      <selection activeCell="E23" sqref="E23"/>
    </sheetView>
  </sheetViews>
  <sheetFormatPr defaultRowHeight="14.4" x14ac:dyDescent="0.3"/>
  <cols>
    <col min="1" max="1" width="11.88671875" customWidth="1"/>
    <col min="2" max="2" width="15.77734375" customWidth="1"/>
    <col min="3" max="3" width="13.21875" customWidth="1"/>
    <col min="4" max="4" width="16.88671875" customWidth="1"/>
    <col min="12" max="12" width="16.88671875" customWidth="1"/>
    <col min="13" max="13" width="17.6640625" customWidth="1"/>
    <col min="14" max="14" width="13.33203125" customWidth="1"/>
    <col min="15" max="15" width="13.6640625" customWidth="1"/>
  </cols>
  <sheetData>
    <row r="1" spans="1:15" ht="28.8" x14ac:dyDescent="0.3">
      <c r="A1" s="12" t="s">
        <v>25</v>
      </c>
      <c r="B1" s="12" t="s">
        <v>78</v>
      </c>
      <c r="C1" s="12" t="s">
        <v>48</v>
      </c>
      <c r="D1" s="12" t="s">
        <v>79</v>
      </c>
    </row>
    <row r="2" spans="1:15" x14ac:dyDescent="0.3">
      <c r="A2" s="9" t="s">
        <v>80</v>
      </c>
      <c r="B2" s="9">
        <v>45</v>
      </c>
      <c r="C2" s="9">
        <v>92</v>
      </c>
      <c r="D2" s="9" t="str">
        <f>IF(AND(C2&gt;=90,B2&gt;=40),"Excellent",IF(C2&gt;=80,"Good","Needs Improvement"))</f>
        <v>Excellent</v>
      </c>
    </row>
    <row r="3" spans="1:15" x14ac:dyDescent="0.3">
      <c r="A3" s="9" t="s">
        <v>81</v>
      </c>
      <c r="B3" s="9">
        <v>38</v>
      </c>
      <c r="C3" s="9">
        <v>85</v>
      </c>
      <c r="D3" s="9" t="str">
        <f t="shared" ref="D3:D16" si="0">IF(AND(C3&gt;=90,B3&gt;=40),"Excellent",IF(C3&gt;=80,"Good","Needs Improvement"))</f>
        <v>Good</v>
      </c>
    </row>
    <row r="4" spans="1:15" x14ac:dyDescent="0.3">
      <c r="A4" s="9" t="s">
        <v>82</v>
      </c>
      <c r="B4" s="9">
        <v>50</v>
      </c>
      <c r="C4" s="9">
        <v>95</v>
      </c>
      <c r="D4" s="9" t="str">
        <f t="shared" si="0"/>
        <v>Excellent</v>
      </c>
    </row>
    <row r="5" spans="1:15" x14ac:dyDescent="0.3">
      <c r="A5" s="9" t="s">
        <v>83</v>
      </c>
      <c r="B5" s="9">
        <v>30</v>
      </c>
      <c r="C5" s="9">
        <v>70</v>
      </c>
      <c r="D5" s="9" t="str">
        <f t="shared" si="0"/>
        <v>Needs Improvement</v>
      </c>
    </row>
    <row r="6" spans="1:15" x14ac:dyDescent="0.3">
      <c r="A6" s="10" t="s">
        <v>14</v>
      </c>
      <c r="B6" s="11">
        <v>38</v>
      </c>
      <c r="C6" s="11">
        <v>44</v>
      </c>
      <c r="D6" s="9" t="str">
        <f t="shared" si="0"/>
        <v>Needs Improvement</v>
      </c>
    </row>
    <row r="7" spans="1:15" ht="13.8" customHeight="1" x14ac:dyDescent="0.3">
      <c r="A7" s="10" t="s">
        <v>15</v>
      </c>
      <c r="B7" s="11">
        <v>51</v>
      </c>
      <c r="C7" s="11">
        <v>35</v>
      </c>
      <c r="D7" s="9" t="str">
        <f t="shared" si="0"/>
        <v>Needs Improvement</v>
      </c>
      <c r="L7" s="1" t="s">
        <v>77</v>
      </c>
      <c r="M7" s="2"/>
      <c r="N7" s="2"/>
      <c r="O7" s="2"/>
    </row>
    <row r="8" spans="1:15" ht="12.6" customHeight="1" thickBot="1" x14ac:dyDescent="0.35">
      <c r="A8" s="10" t="s">
        <v>16</v>
      </c>
      <c r="B8" s="11">
        <v>55</v>
      </c>
      <c r="C8" s="11">
        <v>68</v>
      </c>
      <c r="D8" s="9" t="str">
        <f t="shared" si="0"/>
        <v>Needs Improvement</v>
      </c>
      <c r="L8" s="3" t="s">
        <v>1</v>
      </c>
      <c r="M8" s="2"/>
      <c r="N8" s="2"/>
      <c r="O8" s="2"/>
    </row>
    <row r="9" spans="1:15" ht="15" thickBot="1" x14ac:dyDescent="0.35">
      <c r="A9" s="10" t="s">
        <v>17</v>
      </c>
      <c r="B9" s="11">
        <v>95</v>
      </c>
      <c r="C9" s="11">
        <v>73</v>
      </c>
      <c r="D9" s="9" t="str">
        <f t="shared" si="0"/>
        <v>Needs Improvement</v>
      </c>
      <c r="L9" s="4" t="s">
        <v>25</v>
      </c>
      <c r="M9" s="4" t="s">
        <v>78</v>
      </c>
      <c r="N9" s="4" t="s">
        <v>48</v>
      </c>
      <c r="O9" s="4" t="s">
        <v>79</v>
      </c>
    </row>
    <row r="10" spans="1:15" ht="15" thickBot="1" x14ac:dyDescent="0.35">
      <c r="A10" s="10" t="s">
        <v>18</v>
      </c>
      <c r="B10" s="11">
        <v>69</v>
      </c>
      <c r="C10" s="11">
        <v>99</v>
      </c>
      <c r="D10" s="9" t="str">
        <f t="shared" si="0"/>
        <v>Excellent</v>
      </c>
      <c r="L10" s="5" t="s">
        <v>80</v>
      </c>
      <c r="M10" s="5">
        <v>45</v>
      </c>
      <c r="N10" s="5">
        <v>92</v>
      </c>
      <c r="O10" s="5"/>
    </row>
    <row r="11" spans="1:15" ht="15" thickBot="1" x14ac:dyDescent="0.35">
      <c r="A11" s="10" t="s">
        <v>19</v>
      </c>
      <c r="B11" s="11">
        <v>77</v>
      </c>
      <c r="C11" s="11">
        <v>62</v>
      </c>
      <c r="D11" s="9" t="str">
        <f t="shared" si="0"/>
        <v>Needs Improvement</v>
      </c>
      <c r="L11" s="5" t="s">
        <v>81</v>
      </c>
      <c r="M11" s="5">
        <v>38</v>
      </c>
      <c r="N11" s="5">
        <v>85</v>
      </c>
      <c r="O11" s="5"/>
    </row>
    <row r="12" spans="1:15" ht="15" thickBot="1" x14ac:dyDescent="0.35">
      <c r="A12" s="10" t="s">
        <v>20</v>
      </c>
      <c r="B12" s="11">
        <v>95</v>
      </c>
      <c r="C12" s="11">
        <v>37</v>
      </c>
      <c r="D12" s="9" t="str">
        <f t="shared" si="0"/>
        <v>Needs Improvement</v>
      </c>
      <c r="L12" s="5" t="s">
        <v>82</v>
      </c>
      <c r="M12" s="5">
        <v>50</v>
      </c>
      <c r="N12" s="5">
        <v>95</v>
      </c>
      <c r="O12" s="5"/>
    </row>
    <row r="13" spans="1:15" ht="15" thickBot="1" x14ac:dyDescent="0.35">
      <c r="A13" s="10" t="s">
        <v>21</v>
      </c>
      <c r="B13" s="11">
        <v>73</v>
      </c>
      <c r="C13" s="11">
        <v>55</v>
      </c>
      <c r="D13" s="9" t="str">
        <f t="shared" si="0"/>
        <v>Needs Improvement</v>
      </c>
      <c r="L13" s="5" t="s">
        <v>83</v>
      </c>
      <c r="M13" s="5">
        <v>30</v>
      </c>
      <c r="N13" s="5">
        <v>70</v>
      </c>
      <c r="O13" s="5"/>
    </row>
    <row r="14" spans="1:15" ht="15.6" customHeight="1" x14ac:dyDescent="0.3">
      <c r="A14" s="10" t="s">
        <v>22</v>
      </c>
      <c r="B14" s="11">
        <v>60</v>
      </c>
      <c r="C14" s="11">
        <v>98</v>
      </c>
      <c r="D14" s="9" t="str">
        <f t="shared" si="0"/>
        <v>Excellent</v>
      </c>
      <c r="L14" s="3" t="s">
        <v>11</v>
      </c>
      <c r="M14" s="2"/>
      <c r="N14" s="2"/>
      <c r="O14" s="2"/>
    </row>
    <row r="15" spans="1:15" ht="15" x14ac:dyDescent="0.3">
      <c r="A15" s="10" t="s">
        <v>23</v>
      </c>
      <c r="B15" s="11">
        <v>59</v>
      </c>
      <c r="C15" s="11">
        <v>53</v>
      </c>
      <c r="D15" s="9" t="str">
        <f t="shared" si="0"/>
        <v>Needs Improvement</v>
      </c>
      <c r="L15" s="6" t="s">
        <v>84</v>
      </c>
      <c r="M15" s="2"/>
      <c r="N15" s="2"/>
      <c r="O15" s="2"/>
    </row>
    <row r="16" spans="1:15" ht="15" x14ac:dyDescent="0.3">
      <c r="A16" s="10" t="s">
        <v>34</v>
      </c>
      <c r="B16" s="11">
        <v>53</v>
      </c>
      <c r="C16" s="11">
        <v>54</v>
      </c>
      <c r="D16" s="9" t="str">
        <f t="shared" si="0"/>
        <v>Needs Improvement</v>
      </c>
      <c r="L16" s="6" t="s">
        <v>85</v>
      </c>
      <c r="M16" s="2"/>
      <c r="N16" s="2"/>
      <c r="O16" s="2"/>
    </row>
    <row r="17" spans="12:15" ht="15" x14ac:dyDescent="0.3">
      <c r="L17" s="6" t="s">
        <v>86</v>
      </c>
      <c r="M17" s="2"/>
      <c r="N17" s="2"/>
      <c r="O17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Sheet1</vt:lpstr>
      <vt:lpstr>Sheet2</vt:lpstr>
      <vt:lpstr>Sheet3</vt:lpstr>
      <vt:lpstr>Sheet4</vt:lpstr>
      <vt:lpstr>Sheet5</vt:lpstr>
      <vt:lpstr>Sheet6</vt:lpstr>
      <vt:lpstr>Sheet7</vt:lpstr>
      <vt:lpstr>Sheet8</vt:lpstr>
      <vt:lpstr>Sheet9</vt:lpstr>
      <vt:lpstr>Sheet10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shivam soni</dc:creator>
  <cp:lastModifiedBy>shivam soni</cp:lastModifiedBy>
  <dcterms:created xsi:type="dcterms:W3CDTF">2026-01-25T15:17:54Z</dcterms:created>
  <dcterms:modified xsi:type="dcterms:W3CDTF">2026-02-01T04:45:03Z</dcterms:modified>
</cp:coreProperties>
</file>