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\OneDrive\Desktop\github\Data-analytics\"/>
    </mc:Choice>
  </mc:AlternateContent>
  <xr:revisionPtr revIDLastSave="0" documentId="13_ncr:1_{093A5EA2-53FD-42D6-B6B7-CB76BC407777}" xr6:coauthVersionLast="47" xr6:coauthVersionMax="47" xr10:uidLastSave="{00000000-0000-0000-0000-000000000000}"/>
  <bookViews>
    <workbookView xWindow="-108" yWindow="-108" windowWidth="23256" windowHeight="12456" xr2:uid="{E26CA210-D055-4000-8FD9-6011328C9C33}"/>
  </bookViews>
  <sheets>
    <sheet name="Sheet1" sheetId="1" r:id="rId1"/>
    <sheet name="Sheet2" sheetId="2" r:id="rId2"/>
    <sheet name="Sheet3" sheetId="3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8" l="1"/>
  <c r="D11" i="8"/>
  <c r="H3" i="7"/>
  <c r="H4" i="7"/>
  <c r="H5" i="7"/>
  <c r="H6" i="7"/>
  <c r="H7" i="7"/>
  <c r="H8" i="7"/>
  <c r="H9" i="7"/>
  <c r="H10" i="7"/>
  <c r="H11" i="7"/>
  <c r="H2" i="7"/>
  <c r="G3" i="7"/>
  <c r="G4" i="7"/>
  <c r="G5" i="7"/>
  <c r="G6" i="7"/>
  <c r="G7" i="7"/>
  <c r="G8" i="7"/>
  <c r="G9" i="7"/>
  <c r="G10" i="7"/>
  <c r="G11" i="7"/>
  <c r="G2" i="7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</calcChain>
</file>

<file path=xl/sharedStrings.xml><?xml version="1.0" encoding="utf-8"?>
<sst xmlns="http://schemas.openxmlformats.org/spreadsheetml/2006/main" count="504" uniqueCount="216">
  <si>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</si>
  <si>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</si>
  <si>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</si>
  <si>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</si>
  <si>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</si>
  <si>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</si>
  <si>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</si>
  <si>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</si>
  <si>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</si>
  <si>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</si>
  <si>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</si>
  <si>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</si>
  <si>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</si>
  <si>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</si>
  <si>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</si>
  <si>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</si>
  <si>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</si>
  <si>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</si>
  <si>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</si>
  <si>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</si>
  <si>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</si>
  <si>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</si>
  <si>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</si>
  <si>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</si>
  <si>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</si>
  <si>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</si>
  <si>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</si>
  <si>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</si>
  <si>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</si>
  <si>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</si>
  <si>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</si>
  <si>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</si>
  <si>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</si>
  <si>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</si>
  <si>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Soni Shivam </t>
  </si>
  <si>
    <t>Om thakkar</t>
  </si>
  <si>
    <t>sales</t>
  </si>
  <si>
    <t>pooja patel</t>
  </si>
  <si>
    <t>anjali gupta</t>
  </si>
  <si>
    <t>devang gupta</t>
  </si>
  <si>
    <t>nimesh patel</t>
  </si>
  <si>
    <t>yash patel</t>
  </si>
  <si>
    <t>brijesh solanki</t>
  </si>
  <si>
    <t xml:space="preserve">yuvraj solanki </t>
  </si>
  <si>
    <t>krish prajapati</t>
  </si>
  <si>
    <t xml:space="preserve">yash soni </t>
  </si>
  <si>
    <t>divya soni</t>
  </si>
  <si>
    <t>hetvi joshi</t>
  </si>
  <si>
    <t>jai tripathi</t>
  </si>
  <si>
    <t>neel panchal</t>
  </si>
  <si>
    <t>Format header row (Bold, Color)</t>
  </si>
  <si>
    <t>Salary → Currency (₹)</t>
  </si>
  <si>
    <t>Date → Date format</t>
  </si>
  <si>
    <t>Apply borders and auto-fit column</t>
  </si>
  <si>
    <t>Task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</si>
  <si>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</si>
  <si>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</si>
  <si>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</si>
  <si>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</si>
  <si>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</si>
  <si>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</si>
  <si>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</si>
  <si>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</si>
  <si>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</si>
  <si>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</si>
  <si>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</si>
  <si>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</si>
  <si>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</si>
  <si>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</si>
  <si>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</si>
  <si>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</si>
  <si>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Task 2: Sales Report – Beautification</t>
  </si>
  <si>
    <t>Dataset</t>
  </si>
  <si>
    <t>Laptop Dell Inspiron 16</t>
  </si>
  <si>
    <t>Laptop Dell Inspiron 17</t>
  </si>
  <si>
    <t>Laptop Dell Inspiron 18</t>
  </si>
  <si>
    <t>Laptop Dell Inspiron 19</t>
  </si>
  <si>
    <t>Shivam</t>
  </si>
  <si>
    <t>Jiva</t>
  </si>
  <si>
    <t>Jayesh</t>
  </si>
  <si>
    <t>Sanjay</t>
  </si>
  <si>
    <t>Dhruv</t>
  </si>
  <si>
    <t>Yash</t>
  </si>
  <si>
    <t>Nimesh</t>
  </si>
  <si>
    <t>Yuvraj</t>
  </si>
  <si>
    <t>Brijesh</t>
  </si>
  <si>
    <t>Hetvi</t>
  </si>
  <si>
    <t>Om</t>
  </si>
  <si>
    <t>Jay</t>
  </si>
  <si>
    <t>Krish</t>
  </si>
  <si>
    <r>
      <t>Add title </t>
    </r>
    <r>
      <rPr>
        <sz val="10"/>
        <rFont val="Segoe UI"/>
        <family val="2"/>
      </rPr>
      <t>Monthly Sales Report</t>
    </r>
    <r>
      <rPr>
        <sz val="10"/>
        <rFont val="Segoe UI"/>
        <family val="2"/>
      </rPr>
      <t>.</t>
    </r>
  </si>
  <si>
    <t>Merge &amp; center title.</t>
  </si>
  <si>
    <t>Wrap text for product names.</t>
  </si>
  <si>
    <t>Currency format for sales.</t>
  </si>
  <si>
    <t>Mit</t>
  </si>
  <si>
    <t xml:space="preserve">Megha </t>
  </si>
  <si>
    <t>Pravin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</si>
  <si>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</si>
  <si>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</si>
  <si>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</si>
  <si>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</si>
  <si>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</si>
  <si>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</si>
  <si>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</si>
  <si>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</si>
  <si>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</si>
  <si>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</si>
  <si>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</si>
  <si>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</si>
  <si>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3: Student Marks Sheet – Formatting</t>
  </si>
  <si>
    <t>Calculate Percentage</t>
  </si>
  <si>
    <t>Format percentage column</t>
  </si>
  <si>
    <t>Apply cell styles to headers</t>
  </si>
  <si>
    <t>shivam</t>
  </si>
  <si>
    <t>jiva</t>
  </si>
  <si>
    <t>hetvi</t>
  </si>
  <si>
    <t>jai</t>
  </si>
  <si>
    <t>jayesh</t>
  </si>
  <si>
    <t>nimesh</t>
  </si>
  <si>
    <t>yash</t>
  </si>
  <si>
    <t>krish</t>
  </si>
  <si>
    <t>brijesh</t>
  </si>
  <si>
    <t>nik</t>
  </si>
  <si>
    <t>meet</t>
  </si>
  <si>
    <t>om</t>
  </si>
  <si>
    <t>prem</t>
  </si>
  <si>
    <t>chetan</t>
  </si>
  <si>
    <t>jaya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</si>
  <si>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</si>
  <si>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</si>
  <si>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</si>
  <si>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</si>
  <si>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</si>
  <si>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</si>
  <si>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</si>
  <si>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</si>
  <si>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</si>
  <si>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</si>
  <si>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</si>
  <si>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</si>
  <si>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</si>
  <si>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</si>
  <si>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</si>
  <si>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</si>
  <si>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</si>
  <si>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</si>
  <si>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</si>
  <si>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</si>
  <si>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</si>
  <si>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</si>
  <si>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</si>
  <si>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Sales</t>
  </si>
  <si>
    <t>Highest sale</t>
  </si>
  <si>
    <t>Lowest sale</t>
  </si>
  <si>
    <t>Employee Name</t>
  </si>
  <si>
    <t>Suresh</t>
  </si>
  <si>
    <t>Meena</t>
  </si>
  <si>
    <t>Karan</t>
  </si>
  <si>
    <t>Ritu</t>
  </si>
  <si>
    <t>Aman</t>
  </si>
  <si>
    <t>Neel</t>
  </si>
  <si>
    <t>Total salary per dept</t>
  </si>
  <si>
    <t>average salary</t>
  </si>
  <si>
    <t>total employee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</si>
  <si>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</si>
  <si>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</si>
  <si>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</si>
  <si>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</si>
  <si>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</si>
  <si>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</si>
  <si>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</si>
  <si>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</si>
  <si>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</si>
  <si>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</si>
  <si>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</si>
  <si>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</si>
  <si>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</si>
  <si>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</si>
  <si>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</si>
  <si>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</si>
  <si>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sales above 10000</t>
  </si>
  <si>
    <t xml:space="preserve">   saleselow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</si>
  <si>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</si>
  <si>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</si>
  <si>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</si>
  <si>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</si>
  <si>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</si>
  <si>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</si>
  <si>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</si>
  <si>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</si>
  <si>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</si>
  <si>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</si>
  <si>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</si>
  <si>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Task
Marks ≥ 75 → Green
Marks &lt; 40 → Red</t>
  </si>
  <si>
    <t>Rohit</t>
  </si>
  <si>
    <t>Simran</t>
  </si>
  <si>
    <t>Vijay</t>
  </si>
  <si>
    <t>Nisha</t>
  </si>
  <si>
    <t>Mohan</t>
  </si>
  <si>
    <t>≥ 50000 → Dark Green
30000–49999 → Yellow
&lt; 30000 → Light Red</t>
  </si>
  <si>
    <t>Task 6: Attendance Sheet – COUNTIF</t>
  </si>
  <si>
    <t>Count Present days</t>
  </si>
  <si>
    <t>Count Absent days</t>
  </si>
  <si>
    <t>Task 7: Sales Count Logic</t>
  </si>
  <si>
    <t>Count sales above 10000</t>
  </si>
  <si>
    <t>Count sales below 5000</t>
  </si>
  <si>
    <t>Highlight sales &gt; 20000 (Green)</t>
  </si>
  <si>
    <t>Highlight sales &lt; 5000 (Red)</t>
  </si>
  <si>
    <t>Task 5: Department-wise Salary Analysis</t>
  </si>
  <si>
    <t>Total salary per department</t>
  </si>
  <si>
    <t>Average salary</t>
  </si>
  <si>
    <t>Count employees</t>
  </si>
  <si>
    <t>Task 4: Sales Summary – Aggregation Functions</t>
  </si>
  <si>
    <t>Calculate Total Sales</t>
  </si>
  <si>
    <t>Find Average Sales</t>
  </si>
  <si>
    <t>Identify Highest &amp; 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</si>
</sst>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2"/>
      <name val="Segoe UI"/>
      <family val="2"/>
    </font>
    <font>
      <sz val="8"/>
      <name val="Aptos Narrow"/>
      <family val="2"/>
      <scheme val="minor"/>
    </font>
    <font>
      <b/>
      <sz val="10"/>
      <color theme="2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Segoe UI"/>
      <family val="2"/>
    </font>
    <font>
      <sz val="10"/>
      <name val="Segoe UI"/>
      <family val="2"/>
    </font>
    <font>
      <sz val="13.75"/>
      <name val="Segoe UI"/>
      <family val="2"/>
    </font>
    <font>
      <sz val="16.5"/>
      <name val="Segoe UI"/>
      <family val="2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.5"/>
      <color rgb="FFF0F6FC"/>
      <name val="Segoe UI"/>
      <family val="2"/>
    </font>
    <font>
      <sz val="10"/>
      <color rgb="FFF0F6FC"/>
      <name val="Segoe UI"/>
      <family val="2"/>
    </font>
    <font>
      <sz val="10"/>
      <name val="Segoe UI"/>
      <family val="2"/>
    </font>
    <font>
      <b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D1117"/>
        <bgColor indexed="64"/>
      </patternFill>
    </fill>
  </fills>
  <borders count="6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14" fillId="4" borderId="0" applyNumberFormat="0" applyBorder="0" applyAlignment="0" applyProtection="0"/>
  </cellStyleXfs>
  <cellXfs count="76">
    <xf numFmtId="0" fontId="0" fillId="0" borderId="0" xfId="0"/>
    <xf numFmtId="164" fontId="0" fillId="0" borderId="0" xfId="0" applyNumberFormat="1"/>
    <xf numFmtId="0" fontId="6" fillId="0" borderId="0" xfId="0" applyFont="1"/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4" fontId="9" fillId="3" borderId="2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164" fontId="3" fillId="2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left" vertical="center" shrinkToFit="1"/>
    </xf>
    <xf numFmtId="0" fontId="7" fillId="3" borderId="1" xfId="0" applyFont="1" applyFill="1" applyBorder="1" applyAlignment="1">
      <alignment horizontal="left" vertical="center" shrinkToFit="1"/>
    </xf>
    <xf numFmtId="164" fontId="2" fillId="3" borderId="1" xfId="0" applyNumberFormat="1" applyFont="1" applyFill="1" applyBorder="1" applyAlignment="1">
      <alignment horizontal="left" vertical="center" shrinkToFit="1"/>
    </xf>
    <xf numFmtId="165" fontId="3" fillId="2" borderId="1" xfId="0" applyNumberFormat="1" applyFont="1" applyFill="1" applyBorder="1" applyAlignment="1">
      <alignment horizontal="center" vertical="center" shrinkToFit="1"/>
    </xf>
    <xf numFmtId="165" fontId="2" fillId="3" borderId="1" xfId="0" applyNumberFormat="1" applyFont="1" applyFill="1" applyBorder="1" applyAlignment="1">
      <alignment horizontal="left" vertical="center" shrinkToFit="1"/>
    </xf>
    <xf numFmtId="165" fontId="0" fillId="0" borderId="0" xfId="0" applyNumberFormat="1"/>
    <xf numFmtId="0" fontId="10" fillId="0" borderId="0" xfId="0" applyFont="1" applyAlignment="1">
      <alignment vertical="center" wrapText="1"/>
    </xf>
    <xf numFmtId="0" fontId="12" fillId="3" borderId="0" xfId="0" applyFont="1" applyFill="1"/>
    <xf numFmtId="0" fontId="10" fillId="3" borderId="0" xfId="0" applyFont="1" applyFill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1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3" fillId="3" borderId="2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horizontal="left" vertical="top"/>
    </xf>
    <xf numFmtId="0" fontId="12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indent="1"/>
    </xf>
    <xf numFmtId="0" fontId="13" fillId="3" borderId="2" xfId="0" applyFont="1" applyFill="1" applyBorder="1" applyAlignment="1">
      <alignment horizontal="left" vertical="top" wrapText="1" indent="1"/>
    </xf>
    <xf numFmtId="0" fontId="12" fillId="3" borderId="2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12" fillId="3" borderId="0" xfId="0" applyFont="1" applyFill="1" applyAlignment="1">
      <alignment wrapText="1"/>
    </xf>
    <xf numFmtId="0" fontId="0" fillId="0" borderId="2" xfId="0" applyBorder="1" applyAlignment="1">
      <alignment horizontal="left" indent="1"/>
    </xf>
    <xf numFmtId="164" fontId="12" fillId="3" borderId="2" xfId="0" applyNumberFormat="1" applyFont="1" applyFill="1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9" fontId="8" fillId="3" borderId="2" xfId="1" applyFont="1" applyFill="1" applyBorder="1" applyAlignment="1">
      <alignment horizontal="center" vertical="top" wrapText="1"/>
    </xf>
    <xf numFmtId="9" fontId="0" fillId="0" borderId="0" xfId="1" applyFont="1"/>
    <xf numFmtId="0" fontId="14" fillId="4" borderId="2" xfId="2" applyBorder="1" applyAlignment="1">
      <alignment horizontal="center" vertical="top" wrapText="1"/>
    </xf>
    <xf numFmtId="9" fontId="14" fillId="4" borderId="2" xfId="2" applyNumberForma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14" fontId="8" fillId="3" borderId="2" xfId="0" applyNumberFormat="1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8" fillId="3" borderId="2" xfId="0" applyFont="1" applyFill="1" applyBorder="1" applyAlignment="1">
      <alignment vertical="top" wrapText="1"/>
    </xf>
    <xf numFmtId="0" fontId="17" fillId="0" borderId="0" xfId="0" applyFont="1" applyAlignment="1">
      <alignment vertical="center" wrapText="1"/>
    </xf>
    <xf numFmtId="0" fontId="17" fillId="3" borderId="2" xfId="0" applyFont="1" applyFill="1" applyBorder="1" applyAlignment="1">
      <alignment horizontal="center" vertical="top" wrapText="1"/>
    </xf>
    <xf numFmtId="0" fontId="18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17" fillId="0" borderId="2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14" fontId="0" fillId="0" borderId="2" xfId="0" applyNumberFormat="1" applyBorder="1"/>
  </cellXfs>
  <cellStyles count="3">
    <cellStyle name="60% - Accent1" xfId="2" builtinId="32"/>
    <cellStyle name="Normal" xfId="0" builtinId="0"/>
    <cellStyle name="Percent" xfId="1" builtinId="5"/>
  </cellStyles>
  <dxfs count="10"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theme="9"/>
      </font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F65C-875A-4FE3-9355-40FB38D58F51}">
  <dimension ref="A1:Q21"/>
  <sheetViews>
    <sheetView tabSelected="1" zoomScale="85" workbookViewId="0">
      <selection activeCell="E12" sqref="E12"/>
    </sheetView>
  </sheetViews>
  <sheetFormatPr defaultRowHeight="14.4" x14ac:dyDescent="0.3"/>
  <cols>
    <col min="1" max="1" width="12.21875" bestFit="1" customWidth="1"/>
    <col min="2" max="2" width="12.109375" style="2" bestFit="1" customWidth="1"/>
    <col min="3" max="3" width="11.88671875" bestFit="1" customWidth="1"/>
    <col min="4" max="4" width="10.44140625" style="1" bestFit="1" customWidth="1"/>
    <col min="5" max="5" width="17.5546875" style="15" bestFit="1" customWidth="1"/>
    <col min="12" max="12" width="7" customWidth="1"/>
    <col min="13" max="13" width="14.33203125" customWidth="1"/>
    <col min="14" max="14" width="12.21875" customWidth="1"/>
    <col min="15" max="15" width="11.88671875" customWidth="1"/>
    <col min="16" max="16" width="8" customWidth="1"/>
    <col min="17" max="17" width="13" customWidth="1"/>
  </cols>
  <sheetData>
    <row r="1" spans="1:17" ht="15.6" thickBot="1" x14ac:dyDescent="0.35">
      <c r="A1" s="7" t="s">
        <v>0</v>
      </c>
      <c r="B1" s="8" t="s">
        <v>1</v>
      </c>
      <c r="C1" s="7" t="s">
        <v>2</v>
      </c>
      <c r="D1" s="9" t="s">
        <v>3</v>
      </c>
      <c r="E1" s="13" t="s">
        <v>4</v>
      </c>
    </row>
    <row r="2" spans="1:17" ht="15.6" thickBot="1" x14ac:dyDescent="0.35">
      <c r="A2" s="10" t="s">
        <v>5</v>
      </c>
      <c r="B2" s="11" t="s">
        <v>6</v>
      </c>
      <c r="C2" s="10" t="s">
        <v>7</v>
      </c>
      <c r="D2" s="12">
        <v>32000</v>
      </c>
      <c r="E2" s="14">
        <v>44573</v>
      </c>
    </row>
    <row r="3" spans="1:17" ht="15.6" thickBot="1" x14ac:dyDescent="0.35">
      <c r="A3" s="10" t="s">
        <v>8</v>
      </c>
      <c r="B3" s="11" t="s">
        <v>9</v>
      </c>
      <c r="C3" s="10" t="s">
        <v>10</v>
      </c>
      <c r="D3" s="12">
        <v>45000</v>
      </c>
      <c r="E3" s="14">
        <v>44260</v>
      </c>
    </row>
    <row r="4" spans="1:17" ht="15.6" thickBot="1" x14ac:dyDescent="0.35">
      <c r="A4" s="10" t="s">
        <v>11</v>
      </c>
      <c r="B4" s="11" t="s">
        <v>12</v>
      </c>
      <c r="C4" s="10" t="s">
        <v>13</v>
      </c>
      <c r="D4" s="12">
        <v>38000</v>
      </c>
      <c r="E4" s="14">
        <v>44030</v>
      </c>
    </row>
    <row r="5" spans="1:17" ht="15.6" thickBot="1" x14ac:dyDescent="0.35">
      <c r="A5" s="10" t="s">
        <v>14</v>
      </c>
      <c r="B5" s="11" t="s">
        <v>15</v>
      </c>
      <c r="C5" s="10" t="s">
        <v>10</v>
      </c>
      <c r="D5" s="12">
        <v>52000</v>
      </c>
      <c r="E5" s="14">
        <v>43779</v>
      </c>
      <c r="M5" s="3" t="s">
        <v>0</v>
      </c>
      <c r="N5" s="3" t="s">
        <v>1</v>
      </c>
      <c r="O5" s="3" t="s">
        <v>2</v>
      </c>
      <c r="P5" s="3" t="s">
        <v>3</v>
      </c>
      <c r="Q5" s="3" t="s">
        <v>4</v>
      </c>
    </row>
    <row r="6" spans="1:17" ht="15.6" thickBot="1" x14ac:dyDescent="0.35">
      <c r="A6" s="10" t="s">
        <v>16</v>
      </c>
      <c r="B6" s="11" t="s">
        <v>34</v>
      </c>
      <c r="C6" s="10" t="s">
        <v>13</v>
      </c>
      <c r="D6" s="12">
        <v>32732</v>
      </c>
      <c r="E6" s="14">
        <v>45102</v>
      </c>
      <c r="M6" s="4" t="s">
        <v>5</v>
      </c>
      <c r="N6" s="4" t="s">
        <v>6</v>
      </c>
      <c r="O6" s="4" t="s">
        <v>7</v>
      </c>
      <c r="P6" s="4">
        <v>32000</v>
      </c>
      <c r="Q6" s="5">
        <v>44573</v>
      </c>
    </row>
    <row r="7" spans="1:17" ht="15.6" thickBot="1" x14ac:dyDescent="0.35">
      <c r="A7" s="10" t="s">
        <v>19</v>
      </c>
      <c r="B7" s="11" t="s">
        <v>35</v>
      </c>
      <c r="C7" s="10" t="s">
        <v>10</v>
      </c>
      <c r="D7" s="12">
        <v>37423</v>
      </c>
      <c r="E7" s="14">
        <v>45103</v>
      </c>
      <c r="M7" s="4" t="s">
        <v>8</v>
      </c>
      <c r="N7" s="4" t="s">
        <v>9</v>
      </c>
      <c r="O7" s="4" t="s">
        <v>10</v>
      </c>
      <c r="P7" s="4">
        <v>45000</v>
      </c>
      <c r="Q7" s="5">
        <v>44260</v>
      </c>
    </row>
    <row r="8" spans="1:17" ht="15.6" thickBot="1" x14ac:dyDescent="0.35">
      <c r="A8" s="10" t="s">
        <v>20</v>
      </c>
      <c r="B8" s="11" t="s">
        <v>17</v>
      </c>
      <c r="C8" s="10" t="s">
        <v>13</v>
      </c>
      <c r="D8" s="12">
        <v>45587</v>
      </c>
      <c r="E8" s="14">
        <v>46384</v>
      </c>
      <c r="M8" s="4" t="s">
        <v>11</v>
      </c>
      <c r="N8" s="4" t="s">
        <v>12</v>
      </c>
      <c r="O8" s="4" t="s">
        <v>13</v>
      </c>
      <c r="P8" s="4">
        <v>38000</v>
      </c>
      <c r="Q8" s="5">
        <v>44030</v>
      </c>
    </row>
    <row r="9" spans="1:17" ht="15.6" thickBot="1" x14ac:dyDescent="0.35">
      <c r="A9" s="10" t="s">
        <v>21</v>
      </c>
      <c r="B9" s="11" t="s">
        <v>37</v>
      </c>
      <c r="C9" s="10" t="s">
        <v>10</v>
      </c>
      <c r="D9" s="12">
        <v>46110</v>
      </c>
      <c r="E9" s="14">
        <v>46483</v>
      </c>
      <c r="M9" s="4" t="s">
        <v>14</v>
      </c>
      <c r="N9" s="4" t="s">
        <v>15</v>
      </c>
      <c r="O9" s="4" t="s">
        <v>10</v>
      </c>
      <c r="P9" s="4">
        <v>52000</v>
      </c>
      <c r="Q9" s="5">
        <v>43779</v>
      </c>
    </row>
    <row r="10" spans="1:17" ht="15.6" thickBot="1" x14ac:dyDescent="0.35">
      <c r="A10" s="10" t="s">
        <v>22</v>
      </c>
      <c r="B10" s="11" t="s">
        <v>38</v>
      </c>
      <c r="C10" s="10" t="s">
        <v>36</v>
      </c>
      <c r="D10" s="12">
        <v>35253</v>
      </c>
      <c r="E10" s="14">
        <v>46470</v>
      </c>
      <c r="M10" s="4" t="s">
        <v>16</v>
      </c>
      <c r="N10" s="4" t="s">
        <v>17</v>
      </c>
      <c r="O10" s="4" t="s">
        <v>18</v>
      </c>
      <c r="P10" s="4">
        <v>30000</v>
      </c>
      <c r="Q10" s="5">
        <v>45102</v>
      </c>
    </row>
    <row r="11" spans="1:17" ht="15.6" thickBot="1" x14ac:dyDescent="0.35">
      <c r="A11" s="10" t="s">
        <v>23</v>
      </c>
      <c r="B11" s="11" t="s">
        <v>39</v>
      </c>
      <c r="C11" s="10" t="s">
        <v>13</v>
      </c>
      <c r="D11" s="12">
        <v>38486</v>
      </c>
      <c r="E11" s="14">
        <v>47737</v>
      </c>
    </row>
    <row r="12" spans="1:17" ht="17.399999999999999" customHeight="1" thickBot="1" x14ac:dyDescent="0.35">
      <c r="A12" s="10" t="s">
        <v>24</v>
      </c>
      <c r="B12" s="11" t="s">
        <v>40</v>
      </c>
      <c r="C12" s="10" t="s">
        <v>10</v>
      </c>
      <c r="D12" s="12">
        <v>41565</v>
      </c>
      <c r="E12" s="14">
        <v>44934</v>
      </c>
      <c r="M12" s="16" t="s">
        <v>54</v>
      </c>
    </row>
    <row r="13" spans="1:17" ht="15.6" thickBot="1" x14ac:dyDescent="0.35">
      <c r="A13" s="10" t="s">
        <v>25</v>
      </c>
      <c r="B13" s="11" t="s">
        <v>41</v>
      </c>
      <c r="C13" s="10" t="s">
        <v>36</v>
      </c>
      <c r="D13" s="12">
        <v>40369</v>
      </c>
      <c r="E13" s="14">
        <v>44637</v>
      </c>
      <c r="M13" s="6" t="s">
        <v>50</v>
      </c>
    </row>
    <row r="14" spans="1:17" ht="15.6" thickBot="1" x14ac:dyDescent="0.35">
      <c r="A14" s="10" t="s">
        <v>26</v>
      </c>
      <c r="B14" s="11" t="s">
        <v>42</v>
      </c>
      <c r="C14" s="10" t="s">
        <v>13</v>
      </c>
      <c r="D14" s="12">
        <v>49702</v>
      </c>
      <c r="E14" s="14">
        <v>45316</v>
      </c>
      <c r="M14" s="6" t="s">
        <v>51</v>
      </c>
    </row>
    <row r="15" spans="1:17" ht="15.6" thickBot="1" x14ac:dyDescent="0.35">
      <c r="A15" s="10" t="s">
        <v>27</v>
      </c>
      <c r="B15" s="11" t="s">
        <v>43</v>
      </c>
      <c r="C15" s="10" t="s">
        <v>10</v>
      </c>
      <c r="D15" s="12">
        <v>38781</v>
      </c>
      <c r="E15" s="14">
        <v>46305</v>
      </c>
      <c r="M15" s="6" t="s">
        <v>52</v>
      </c>
    </row>
    <row r="16" spans="1:17" ht="15.6" thickBot="1" x14ac:dyDescent="0.35">
      <c r="A16" s="10" t="s">
        <v>28</v>
      </c>
      <c r="B16" s="11" t="s">
        <v>44</v>
      </c>
      <c r="C16" s="10" t="s">
        <v>36</v>
      </c>
      <c r="D16" s="12">
        <v>35028</v>
      </c>
      <c r="E16" s="14">
        <v>45941</v>
      </c>
      <c r="M16" s="6" t="s">
        <v>53</v>
      </c>
    </row>
    <row r="17" spans="1:5" ht="15.6" thickBot="1" x14ac:dyDescent="0.35">
      <c r="A17" s="10" t="s">
        <v>29</v>
      </c>
      <c r="B17" s="11" t="s">
        <v>45</v>
      </c>
      <c r="C17" s="10" t="s">
        <v>13</v>
      </c>
      <c r="D17" s="12">
        <v>43083</v>
      </c>
      <c r="E17" s="14">
        <v>46384</v>
      </c>
    </row>
    <row r="18" spans="1:5" ht="15.6" thickBot="1" x14ac:dyDescent="0.35">
      <c r="A18" s="10" t="s">
        <v>30</v>
      </c>
      <c r="B18" s="11" t="s">
        <v>46</v>
      </c>
      <c r="C18" s="10" t="s">
        <v>10</v>
      </c>
      <c r="D18" s="12">
        <v>39371</v>
      </c>
      <c r="E18" s="14">
        <v>47780</v>
      </c>
    </row>
    <row r="19" spans="1:5" ht="15.6" thickBot="1" x14ac:dyDescent="0.35">
      <c r="A19" s="10" t="s">
        <v>31</v>
      </c>
      <c r="B19" s="11" t="s">
        <v>47</v>
      </c>
      <c r="C19" s="10" t="s">
        <v>36</v>
      </c>
      <c r="D19" s="12">
        <v>35059</v>
      </c>
      <c r="E19" s="14">
        <v>44821</v>
      </c>
    </row>
    <row r="20" spans="1:5" ht="15.6" thickBot="1" x14ac:dyDescent="0.35">
      <c r="A20" s="10" t="s">
        <v>32</v>
      </c>
      <c r="B20" s="11" t="s">
        <v>48</v>
      </c>
      <c r="C20" s="10" t="s">
        <v>13</v>
      </c>
      <c r="D20" s="12">
        <v>44670</v>
      </c>
      <c r="E20" s="14">
        <v>44735</v>
      </c>
    </row>
    <row r="21" spans="1:5" ht="15.6" thickBot="1" x14ac:dyDescent="0.35">
      <c r="A21" s="10" t="s">
        <v>33</v>
      </c>
      <c r="B21" s="11" t="s">
        <v>49</v>
      </c>
      <c r="C21" s="10" t="s">
        <v>10</v>
      </c>
      <c r="D21" s="12">
        <v>39729</v>
      </c>
      <c r="E21" s="14">
        <v>46005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1404-CFCD-4C17-B8DF-B6C6976B07F2}">
  <dimension ref="A1:M22"/>
  <sheetViews>
    <sheetView workbookViewId="0">
      <selection activeCell="E23" sqref="E23"/>
    </sheetView>
  </sheetViews>
  <sheetFormatPr defaultRowHeight="14.4" x14ac:dyDescent="0.3"/>
  <cols>
    <col min="1" max="1" width="23.77734375" bestFit="1" customWidth="1"/>
    <col min="2" max="2" width="7.109375" bestFit="1" customWidth="1"/>
    <col min="3" max="3" width="13.33203125" bestFit="1" customWidth="1"/>
    <col min="4" max="4" width="13.21875" style="31" bestFit="1" customWidth="1"/>
    <col min="9" max="9" width="6.5546875" customWidth="1"/>
    <col min="10" max="10" width="25.21875" customWidth="1"/>
    <col min="12" max="12" width="8.77734375" customWidth="1"/>
    <col min="13" max="13" width="10.21875" customWidth="1"/>
    <col min="14" max="14" width="7.109375" bestFit="1" customWidth="1"/>
    <col min="15" max="15" width="10.6640625" customWidth="1"/>
    <col min="16" max="16" width="12.109375" bestFit="1" customWidth="1"/>
    <col min="17" max="17" width="10.44140625" customWidth="1"/>
    <col min="18" max="18" width="14" customWidth="1"/>
  </cols>
  <sheetData>
    <row r="1" spans="1:13" x14ac:dyDescent="0.3">
      <c r="A1" s="62" t="s">
        <v>97</v>
      </c>
      <c r="B1" s="63"/>
      <c r="C1" s="63"/>
      <c r="D1" s="63"/>
    </row>
    <row r="2" spans="1:13" x14ac:dyDescent="0.3">
      <c r="A2" s="26" t="s">
        <v>55</v>
      </c>
      <c r="B2" s="27" t="s">
        <v>56</v>
      </c>
      <c r="C2" s="27" t="s">
        <v>57</v>
      </c>
      <c r="D2" s="32" t="s">
        <v>58</v>
      </c>
    </row>
    <row r="3" spans="1:13" x14ac:dyDescent="0.3">
      <c r="A3" s="28" t="s">
        <v>59</v>
      </c>
      <c r="B3" s="29" t="s">
        <v>60</v>
      </c>
      <c r="C3" s="38">
        <v>45000</v>
      </c>
      <c r="D3" s="33" t="s">
        <v>61</v>
      </c>
    </row>
    <row r="4" spans="1:13" x14ac:dyDescent="0.3">
      <c r="A4" s="28" t="s">
        <v>62</v>
      </c>
      <c r="B4" s="29" t="s">
        <v>63</v>
      </c>
      <c r="C4" s="38">
        <v>1200</v>
      </c>
      <c r="D4" s="33" t="s">
        <v>64</v>
      </c>
    </row>
    <row r="5" spans="1:13" x14ac:dyDescent="0.3">
      <c r="A5" s="28" t="s">
        <v>65</v>
      </c>
      <c r="B5" s="29" t="s">
        <v>66</v>
      </c>
      <c r="C5" s="38">
        <v>18000</v>
      </c>
      <c r="D5" s="33" t="s">
        <v>67</v>
      </c>
    </row>
    <row r="6" spans="1:13" x14ac:dyDescent="0.3">
      <c r="A6" s="28" t="s">
        <v>68</v>
      </c>
      <c r="B6" s="29" t="s">
        <v>69</v>
      </c>
      <c r="C6" s="38">
        <v>62000</v>
      </c>
      <c r="D6" s="33" t="s">
        <v>70</v>
      </c>
    </row>
    <row r="7" spans="1:13" ht="18" customHeight="1" x14ac:dyDescent="0.3">
      <c r="A7" s="28" t="s">
        <v>73</v>
      </c>
      <c r="B7" s="29" t="s">
        <v>60</v>
      </c>
      <c r="C7" s="39">
        <v>97496</v>
      </c>
      <c r="D7" s="35" t="s">
        <v>77</v>
      </c>
      <c r="J7" s="21" t="s">
        <v>71</v>
      </c>
      <c r="K7" s="17"/>
      <c r="L7" s="17"/>
      <c r="M7" s="17"/>
    </row>
    <row r="8" spans="1:13" ht="14.4" customHeight="1" thickBot="1" x14ac:dyDescent="0.35">
      <c r="A8" s="28" t="s">
        <v>62</v>
      </c>
      <c r="B8" s="29" t="s">
        <v>63</v>
      </c>
      <c r="C8" s="39">
        <v>78813</v>
      </c>
      <c r="D8" s="33" t="s">
        <v>78</v>
      </c>
      <c r="J8" s="18" t="s">
        <v>72</v>
      </c>
      <c r="K8" s="17"/>
      <c r="L8" s="17"/>
      <c r="M8" s="17"/>
    </row>
    <row r="9" spans="1:13" ht="15.6" customHeight="1" thickBot="1" x14ac:dyDescent="0.35">
      <c r="A9" s="28" t="s">
        <v>65</v>
      </c>
      <c r="B9" s="29" t="s">
        <v>60</v>
      </c>
      <c r="C9" s="39">
        <v>48972</v>
      </c>
      <c r="D9" s="33" t="s">
        <v>79</v>
      </c>
      <c r="J9" s="22" t="s">
        <v>55</v>
      </c>
      <c r="K9" s="22" t="s">
        <v>56</v>
      </c>
      <c r="L9" s="22" t="s">
        <v>57</v>
      </c>
      <c r="M9" s="19" t="s">
        <v>58</v>
      </c>
    </row>
    <row r="10" spans="1:13" ht="15" thickBot="1" x14ac:dyDescent="0.35">
      <c r="A10" s="28" t="s">
        <v>68</v>
      </c>
      <c r="B10" s="29" t="s">
        <v>63</v>
      </c>
      <c r="C10" s="39">
        <v>49859</v>
      </c>
      <c r="D10" s="35" t="s">
        <v>80</v>
      </c>
      <c r="J10" s="23" t="s">
        <v>59</v>
      </c>
      <c r="K10" s="23" t="s">
        <v>60</v>
      </c>
      <c r="L10" s="23">
        <v>45000</v>
      </c>
      <c r="M10" s="20" t="s">
        <v>61</v>
      </c>
    </row>
    <row r="11" spans="1:13" ht="15" thickBot="1" x14ac:dyDescent="0.35">
      <c r="A11" s="28" t="s">
        <v>74</v>
      </c>
      <c r="B11" s="29" t="s">
        <v>63</v>
      </c>
      <c r="C11" s="39">
        <v>90803</v>
      </c>
      <c r="D11" s="35" t="s">
        <v>81</v>
      </c>
      <c r="J11" s="23" t="s">
        <v>62</v>
      </c>
      <c r="K11" s="23" t="s">
        <v>63</v>
      </c>
      <c r="L11" s="23">
        <v>1200</v>
      </c>
      <c r="M11" s="20" t="s">
        <v>64</v>
      </c>
    </row>
    <row r="12" spans="1:13" ht="15" thickBot="1" x14ac:dyDescent="0.35">
      <c r="A12" s="28" t="s">
        <v>62</v>
      </c>
      <c r="B12" s="29" t="s">
        <v>60</v>
      </c>
      <c r="C12" s="39">
        <v>35609</v>
      </c>
      <c r="D12" s="35" t="s">
        <v>82</v>
      </c>
      <c r="J12" s="23" t="s">
        <v>65</v>
      </c>
      <c r="K12" s="23" t="s">
        <v>66</v>
      </c>
      <c r="L12" s="23">
        <v>18000</v>
      </c>
      <c r="M12" s="20" t="s">
        <v>67</v>
      </c>
    </row>
    <row r="13" spans="1:13" ht="15" thickBot="1" x14ac:dyDescent="0.35">
      <c r="A13" s="28" t="s">
        <v>65</v>
      </c>
      <c r="B13" s="29" t="s">
        <v>63</v>
      </c>
      <c r="C13" s="39">
        <v>50598</v>
      </c>
      <c r="D13" s="35" t="s">
        <v>83</v>
      </c>
      <c r="J13" s="23" t="s">
        <v>68</v>
      </c>
      <c r="K13" s="23" t="s">
        <v>69</v>
      </c>
      <c r="L13" s="23">
        <v>62000</v>
      </c>
      <c r="M13" s="20" t="s">
        <v>70</v>
      </c>
    </row>
    <row r="14" spans="1:13" ht="16.2" customHeight="1" x14ac:dyDescent="0.3">
      <c r="A14" s="28" t="s">
        <v>68</v>
      </c>
      <c r="B14" s="29" t="s">
        <v>69</v>
      </c>
      <c r="C14" s="39">
        <v>53475</v>
      </c>
      <c r="D14" s="35" t="s">
        <v>84</v>
      </c>
      <c r="J14" s="18" t="s">
        <v>54</v>
      </c>
      <c r="K14" s="36"/>
      <c r="L14" s="36"/>
      <c r="M14" s="17"/>
    </row>
    <row r="15" spans="1:13" ht="15" x14ac:dyDescent="0.3">
      <c r="A15" s="28" t="s">
        <v>75</v>
      </c>
      <c r="B15" s="34" t="s">
        <v>66</v>
      </c>
      <c r="C15" s="39">
        <v>95293</v>
      </c>
      <c r="D15" s="35" t="s">
        <v>85</v>
      </c>
      <c r="J15" s="25" t="s">
        <v>90</v>
      </c>
      <c r="K15" s="36"/>
      <c r="L15" s="36"/>
      <c r="M15" s="17"/>
    </row>
    <row r="16" spans="1:13" ht="15" x14ac:dyDescent="0.3">
      <c r="A16" s="28" t="s">
        <v>62</v>
      </c>
      <c r="B16" s="29" t="s">
        <v>60</v>
      </c>
      <c r="C16" s="39">
        <v>42175</v>
      </c>
      <c r="D16" s="35" t="s">
        <v>86</v>
      </c>
      <c r="J16" s="25" t="s">
        <v>91</v>
      </c>
      <c r="K16" s="36"/>
      <c r="L16" s="36"/>
      <c r="M16" s="17"/>
    </row>
    <row r="17" spans="1:13" ht="15" x14ac:dyDescent="0.3">
      <c r="A17" s="28" t="s">
        <v>65</v>
      </c>
      <c r="B17" s="29" t="s">
        <v>63</v>
      </c>
      <c r="C17" s="39">
        <v>46144</v>
      </c>
      <c r="D17" s="35" t="s">
        <v>87</v>
      </c>
      <c r="J17" s="25" t="s">
        <v>92</v>
      </c>
      <c r="K17" s="36"/>
      <c r="L17" s="36"/>
      <c r="M17" s="17"/>
    </row>
    <row r="18" spans="1:13" ht="15" x14ac:dyDescent="0.3">
      <c r="A18" s="28" t="s">
        <v>68</v>
      </c>
      <c r="B18" s="29" t="s">
        <v>69</v>
      </c>
      <c r="C18" s="39">
        <v>75672</v>
      </c>
      <c r="D18" s="35" t="s">
        <v>88</v>
      </c>
      <c r="J18" s="25" t="s">
        <v>93</v>
      </c>
      <c r="K18" s="36"/>
      <c r="L18" s="36"/>
      <c r="M18" s="17"/>
    </row>
    <row r="19" spans="1:13" x14ac:dyDescent="0.3">
      <c r="A19" s="28" t="s">
        <v>76</v>
      </c>
      <c r="B19" s="34" t="s">
        <v>66</v>
      </c>
      <c r="C19" s="39">
        <v>28088</v>
      </c>
      <c r="D19" s="35" t="s">
        <v>89</v>
      </c>
    </row>
    <row r="20" spans="1:13" x14ac:dyDescent="0.3">
      <c r="A20" s="28" t="s">
        <v>68</v>
      </c>
      <c r="B20" s="34" t="s">
        <v>66</v>
      </c>
      <c r="C20" s="39">
        <v>44836</v>
      </c>
      <c r="D20" s="37" t="s">
        <v>94</v>
      </c>
    </row>
    <row r="21" spans="1:13" x14ac:dyDescent="0.3">
      <c r="A21" s="28" t="s">
        <v>76</v>
      </c>
      <c r="B21" s="29" t="s">
        <v>60</v>
      </c>
      <c r="C21" s="39">
        <v>43563</v>
      </c>
      <c r="D21" s="37" t="s">
        <v>95</v>
      </c>
    </row>
    <row r="22" spans="1:13" x14ac:dyDescent="0.3">
      <c r="A22" s="28" t="s">
        <v>62</v>
      </c>
      <c r="B22" s="29" t="s">
        <v>63</v>
      </c>
      <c r="C22" s="39">
        <v>42289</v>
      </c>
      <c r="D22" s="37" t="s">
        <v>96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0332-28A2-49C8-AE22-697D927DA646}">
  <dimension ref="A1:S23"/>
  <sheetViews>
    <sheetView workbookViewId="0">
      <selection activeCell="S14" sqref="S14"/>
    </sheetView>
  </sheetViews>
  <sheetFormatPr defaultRowHeight="14.4" x14ac:dyDescent="0.3"/>
  <cols>
    <col min="6" max="6" width="14.44140625" style="43" customWidth="1"/>
    <col min="15" max="15" width="12" customWidth="1"/>
    <col min="19" max="19" width="10.21875" customWidth="1"/>
  </cols>
  <sheetData>
    <row r="1" spans="1:19" ht="28.8" x14ac:dyDescent="0.3">
      <c r="A1" s="44" t="s">
        <v>98</v>
      </c>
      <c r="B1" s="44" t="s">
        <v>99</v>
      </c>
      <c r="C1" s="44" t="s">
        <v>100</v>
      </c>
      <c r="D1" s="44" t="s">
        <v>101</v>
      </c>
      <c r="E1" s="44" t="s">
        <v>102</v>
      </c>
      <c r="F1" s="45" t="s">
        <v>103</v>
      </c>
    </row>
    <row r="2" spans="1:19" ht="15" x14ac:dyDescent="0.3">
      <c r="A2" s="41">
        <v>1</v>
      </c>
      <c r="B2" s="41" t="s">
        <v>104</v>
      </c>
      <c r="C2" s="41">
        <v>78</v>
      </c>
      <c r="D2" s="41">
        <v>82</v>
      </c>
      <c r="E2" s="41">
        <v>74</v>
      </c>
      <c r="F2" s="42">
        <f>(C2+D2+E2)/300</f>
        <v>0.78</v>
      </c>
    </row>
    <row r="3" spans="1:19" ht="15" x14ac:dyDescent="0.3">
      <c r="A3" s="41">
        <v>2</v>
      </c>
      <c r="B3" s="41" t="s">
        <v>105</v>
      </c>
      <c r="C3" s="41">
        <v>65</v>
      </c>
      <c r="D3" s="41">
        <v>70</v>
      </c>
      <c r="E3" s="41">
        <v>68</v>
      </c>
      <c r="F3" s="42">
        <f t="shared" ref="F3:F21" si="0">(C3+D3+E3)/300</f>
        <v>0.67666666666666664</v>
      </c>
    </row>
    <row r="4" spans="1:19" ht="15" x14ac:dyDescent="0.3">
      <c r="A4" s="41">
        <v>3</v>
      </c>
      <c r="B4" s="41" t="s">
        <v>106</v>
      </c>
      <c r="C4" s="41">
        <v>90</v>
      </c>
      <c r="D4" s="41">
        <v>88</v>
      </c>
      <c r="E4" s="41">
        <v>92</v>
      </c>
      <c r="F4" s="42">
        <f t="shared" si="0"/>
        <v>0.9</v>
      </c>
    </row>
    <row r="5" spans="1:19" ht="15" x14ac:dyDescent="0.3">
      <c r="A5" s="41">
        <v>4</v>
      </c>
      <c r="B5" s="41" t="s">
        <v>107</v>
      </c>
      <c r="C5" s="41">
        <v>35</v>
      </c>
      <c r="D5" s="41">
        <v>40</v>
      </c>
      <c r="E5" s="41">
        <v>38</v>
      </c>
      <c r="F5" s="42">
        <f t="shared" si="0"/>
        <v>0.37666666666666665</v>
      </c>
    </row>
    <row r="6" spans="1:19" ht="15" x14ac:dyDescent="0.3">
      <c r="A6" s="41">
        <v>5</v>
      </c>
      <c r="B6" s="41" t="s">
        <v>108</v>
      </c>
      <c r="C6" s="41">
        <v>55</v>
      </c>
      <c r="D6" s="41">
        <v>60</v>
      </c>
      <c r="E6" s="41">
        <v>58</v>
      </c>
      <c r="F6" s="42">
        <f t="shared" si="0"/>
        <v>0.57666666666666666</v>
      </c>
    </row>
    <row r="7" spans="1:19" ht="15" x14ac:dyDescent="0.3">
      <c r="A7" s="41">
        <v>6</v>
      </c>
      <c r="B7" s="40" t="s">
        <v>113</v>
      </c>
      <c r="C7" s="30">
        <v>71</v>
      </c>
      <c r="D7" s="30">
        <v>92</v>
      </c>
      <c r="E7" s="30">
        <v>74</v>
      </c>
      <c r="F7" s="42">
        <f t="shared" si="0"/>
        <v>0.79</v>
      </c>
    </row>
    <row r="8" spans="1:19" ht="15" x14ac:dyDescent="0.3">
      <c r="A8" s="41">
        <v>7</v>
      </c>
      <c r="B8" s="41" t="s">
        <v>114</v>
      </c>
      <c r="C8" s="30">
        <v>79</v>
      </c>
      <c r="D8" s="30">
        <v>46</v>
      </c>
      <c r="E8" s="30">
        <v>73</v>
      </c>
      <c r="F8" s="42">
        <f t="shared" si="0"/>
        <v>0.66</v>
      </c>
    </row>
    <row r="9" spans="1:19" ht="15" x14ac:dyDescent="0.3">
      <c r="A9" s="41">
        <v>8</v>
      </c>
      <c r="B9" s="41" t="s">
        <v>115</v>
      </c>
      <c r="C9" s="30">
        <v>37</v>
      </c>
      <c r="D9" s="30">
        <v>71</v>
      </c>
      <c r="E9" s="30">
        <v>88</v>
      </c>
      <c r="F9" s="42">
        <f t="shared" si="0"/>
        <v>0.65333333333333332</v>
      </c>
    </row>
    <row r="10" spans="1:19" ht="15" x14ac:dyDescent="0.3">
      <c r="A10" s="41">
        <v>9</v>
      </c>
      <c r="B10" s="41" t="s">
        <v>116</v>
      </c>
      <c r="C10" s="30">
        <v>84</v>
      </c>
      <c r="D10" s="30">
        <v>42</v>
      </c>
      <c r="E10" s="30">
        <v>51</v>
      </c>
      <c r="F10" s="42">
        <f t="shared" si="0"/>
        <v>0.59</v>
      </c>
    </row>
    <row r="11" spans="1:19" ht="14.4" customHeight="1" x14ac:dyDescent="0.3">
      <c r="A11" s="41">
        <v>10</v>
      </c>
      <c r="B11" s="41" t="s">
        <v>117</v>
      </c>
      <c r="C11" s="30">
        <v>76</v>
      </c>
      <c r="D11" s="30">
        <v>65</v>
      </c>
      <c r="E11" s="30">
        <v>72</v>
      </c>
      <c r="F11" s="42">
        <f t="shared" si="0"/>
        <v>0.71</v>
      </c>
    </row>
    <row r="12" spans="1:19" ht="15.6" customHeight="1" x14ac:dyDescent="0.3">
      <c r="A12" s="41">
        <v>11</v>
      </c>
      <c r="B12" s="41" t="s">
        <v>118</v>
      </c>
      <c r="C12" s="30">
        <v>66</v>
      </c>
      <c r="D12" s="30">
        <v>77</v>
      </c>
      <c r="E12" s="30">
        <v>86</v>
      </c>
      <c r="F12" s="42">
        <f t="shared" si="0"/>
        <v>0.76333333333333331</v>
      </c>
      <c r="N12" s="21" t="s">
        <v>109</v>
      </c>
      <c r="O12" s="17"/>
      <c r="P12" s="17"/>
      <c r="Q12" s="17"/>
      <c r="R12" s="17"/>
      <c r="S12" s="17"/>
    </row>
    <row r="13" spans="1:19" ht="14.4" customHeight="1" thickBot="1" x14ac:dyDescent="0.35">
      <c r="A13" s="41">
        <v>12</v>
      </c>
      <c r="B13" s="41" t="s">
        <v>119</v>
      </c>
      <c r="C13" s="30">
        <v>48</v>
      </c>
      <c r="D13" s="30">
        <v>51</v>
      </c>
      <c r="E13" s="30">
        <v>98</v>
      </c>
      <c r="F13" s="42">
        <f t="shared" si="0"/>
        <v>0.65666666666666662</v>
      </c>
      <c r="N13" s="24" t="s">
        <v>72</v>
      </c>
      <c r="O13" s="17"/>
      <c r="P13" s="17"/>
      <c r="Q13" s="17"/>
      <c r="R13" s="17"/>
      <c r="S13" s="17"/>
    </row>
    <row r="14" spans="1:19" ht="14.4" customHeight="1" thickBot="1" x14ac:dyDescent="0.35">
      <c r="A14" s="41">
        <v>13</v>
      </c>
      <c r="B14" s="41" t="s">
        <v>120</v>
      </c>
      <c r="C14" s="30">
        <v>32</v>
      </c>
      <c r="D14" s="30">
        <v>87</v>
      </c>
      <c r="E14" s="30">
        <v>58</v>
      </c>
      <c r="F14" s="42">
        <f t="shared" si="0"/>
        <v>0.59</v>
      </c>
      <c r="N14" s="22" t="s">
        <v>98</v>
      </c>
      <c r="O14" s="22" t="s">
        <v>99</v>
      </c>
      <c r="P14" s="22" t="s">
        <v>100</v>
      </c>
      <c r="Q14" s="22" t="s">
        <v>101</v>
      </c>
      <c r="R14" s="22" t="s">
        <v>102</v>
      </c>
      <c r="S14" s="22" t="s">
        <v>103</v>
      </c>
    </row>
    <row r="15" spans="1:19" ht="14.4" customHeight="1" thickBot="1" x14ac:dyDescent="0.35">
      <c r="A15" s="41">
        <v>14</v>
      </c>
      <c r="B15" s="41" t="s">
        <v>121</v>
      </c>
      <c r="C15" s="30">
        <v>80</v>
      </c>
      <c r="D15" s="30">
        <v>87</v>
      </c>
      <c r="E15" s="30">
        <v>87</v>
      </c>
      <c r="F15" s="42">
        <f t="shared" si="0"/>
        <v>0.84666666666666668</v>
      </c>
      <c r="N15" s="23">
        <v>1</v>
      </c>
      <c r="O15" s="23" t="s">
        <v>104</v>
      </c>
      <c r="P15" s="23">
        <v>78</v>
      </c>
      <c r="Q15" s="23">
        <v>82</v>
      </c>
      <c r="R15" s="23">
        <v>74</v>
      </c>
      <c r="S15" s="23"/>
    </row>
    <row r="16" spans="1:19" ht="14.4" customHeight="1" thickBot="1" x14ac:dyDescent="0.35">
      <c r="A16" s="41">
        <v>15</v>
      </c>
      <c r="B16" s="41" t="s">
        <v>122</v>
      </c>
      <c r="C16" s="30">
        <v>57</v>
      </c>
      <c r="D16" s="30">
        <v>92</v>
      </c>
      <c r="E16" s="30">
        <v>65</v>
      </c>
      <c r="F16" s="42">
        <f t="shared" si="0"/>
        <v>0.71333333333333337</v>
      </c>
      <c r="N16" s="23">
        <v>2</v>
      </c>
      <c r="O16" s="23" t="s">
        <v>105</v>
      </c>
      <c r="P16" s="23">
        <v>65</v>
      </c>
      <c r="Q16" s="23">
        <v>70</v>
      </c>
      <c r="R16" s="23">
        <v>68</v>
      </c>
      <c r="S16" s="23"/>
    </row>
    <row r="17" spans="1:19" ht="14.4" customHeight="1" thickBot="1" x14ac:dyDescent="0.35">
      <c r="A17" s="41">
        <v>16</v>
      </c>
      <c r="B17" s="41" t="s">
        <v>123</v>
      </c>
      <c r="C17" s="30">
        <v>42</v>
      </c>
      <c r="D17" s="30">
        <v>41</v>
      </c>
      <c r="E17" s="30">
        <v>93</v>
      </c>
      <c r="F17" s="42">
        <f t="shared" si="0"/>
        <v>0.58666666666666667</v>
      </c>
      <c r="N17" s="23">
        <v>3</v>
      </c>
      <c r="O17" s="23" t="s">
        <v>106</v>
      </c>
      <c r="P17" s="23">
        <v>90</v>
      </c>
      <c r="Q17" s="23">
        <v>88</v>
      </c>
      <c r="R17" s="23">
        <v>92</v>
      </c>
      <c r="S17" s="23"/>
    </row>
    <row r="18" spans="1:19" ht="14.4" customHeight="1" thickBot="1" x14ac:dyDescent="0.35">
      <c r="A18" s="41">
        <v>17</v>
      </c>
      <c r="B18" s="41" t="s">
        <v>124</v>
      </c>
      <c r="C18" s="30">
        <v>32</v>
      </c>
      <c r="D18" s="30">
        <v>46</v>
      </c>
      <c r="E18" s="30">
        <v>52</v>
      </c>
      <c r="F18" s="42">
        <f t="shared" si="0"/>
        <v>0.43333333333333335</v>
      </c>
      <c r="N18" s="23">
        <v>4</v>
      </c>
      <c r="O18" s="23" t="s">
        <v>107</v>
      </c>
      <c r="P18" s="23">
        <v>35</v>
      </c>
      <c r="Q18" s="23">
        <v>40</v>
      </c>
      <c r="R18" s="23">
        <v>38</v>
      </c>
      <c r="S18" s="23"/>
    </row>
    <row r="19" spans="1:19" ht="14.4" customHeight="1" thickBot="1" x14ac:dyDescent="0.35">
      <c r="A19" s="41">
        <v>18</v>
      </c>
      <c r="B19" s="41" t="s">
        <v>125</v>
      </c>
      <c r="C19" s="30">
        <v>37</v>
      </c>
      <c r="D19" s="30">
        <v>81</v>
      </c>
      <c r="E19" s="30">
        <v>99</v>
      </c>
      <c r="F19" s="42">
        <f t="shared" si="0"/>
        <v>0.72333333333333338</v>
      </c>
      <c r="N19" s="23">
        <v>5</v>
      </c>
      <c r="O19" s="23" t="s">
        <v>108</v>
      </c>
      <c r="P19" s="23">
        <v>55</v>
      </c>
      <c r="Q19" s="23">
        <v>60</v>
      </c>
      <c r="R19" s="23">
        <v>58</v>
      </c>
      <c r="S19" s="23"/>
    </row>
    <row r="20" spans="1:19" ht="14.4" customHeight="1" x14ac:dyDescent="0.3">
      <c r="A20" s="41">
        <v>19</v>
      </c>
      <c r="B20" s="41" t="s">
        <v>126</v>
      </c>
      <c r="C20" s="30">
        <v>36</v>
      </c>
      <c r="D20" s="30">
        <v>40</v>
      </c>
      <c r="E20" s="30">
        <v>59</v>
      </c>
      <c r="F20" s="42">
        <f t="shared" si="0"/>
        <v>0.45</v>
      </c>
      <c r="N20" s="24" t="s">
        <v>54</v>
      </c>
      <c r="O20" s="17"/>
      <c r="P20" s="17"/>
      <c r="Q20" s="17"/>
      <c r="R20" s="17"/>
      <c r="S20" s="17"/>
    </row>
    <row r="21" spans="1:19" ht="14.4" customHeight="1" x14ac:dyDescent="0.3">
      <c r="A21" s="41">
        <v>20</v>
      </c>
      <c r="B21" s="41" t="s">
        <v>127</v>
      </c>
      <c r="C21" s="30">
        <v>64</v>
      </c>
      <c r="D21" s="30">
        <v>67</v>
      </c>
      <c r="E21" s="30">
        <v>77</v>
      </c>
      <c r="F21" s="42">
        <f t="shared" si="0"/>
        <v>0.69333333333333336</v>
      </c>
      <c r="N21" s="25" t="s">
        <v>110</v>
      </c>
      <c r="O21" s="17"/>
      <c r="P21" s="17"/>
      <c r="Q21" s="17"/>
      <c r="R21" s="17"/>
      <c r="S21" s="17"/>
    </row>
    <row r="22" spans="1:19" ht="14.4" customHeight="1" x14ac:dyDescent="0.3">
      <c r="N22" s="25" t="s">
        <v>111</v>
      </c>
      <c r="O22" s="17"/>
      <c r="P22" s="17"/>
      <c r="Q22" s="17"/>
      <c r="R22" s="17"/>
      <c r="S22" s="17"/>
    </row>
    <row r="23" spans="1:19" ht="14.4" customHeight="1" x14ac:dyDescent="0.3">
      <c r="N23" s="25" t="s">
        <v>112</v>
      </c>
      <c r="O23" s="17"/>
      <c r="P23" s="17"/>
      <c r="Q23" s="17"/>
      <c r="R23" s="17"/>
      <c r="S23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8286-9D09-4B0D-B293-6C023EEAAB65}">
  <dimension ref="A1:K25"/>
  <sheetViews>
    <sheetView workbookViewId="0">
      <selection activeCell="P16" sqref="P16"/>
    </sheetView>
  </sheetViews>
  <sheetFormatPr defaultRowHeight="14.4" x14ac:dyDescent="0.3"/>
  <cols>
    <col min="2" max="2" width="12" customWidth="1"/>
    <col min="6" max="6" width="8.88671875" customWidth="1"/>
    <col min="7" max="7" width="12" customWidth="1"/>
    <col min="8" max="8" width="9.5546875" customWidth="1"/>
    <col min="9" max="10" width="10.6640625" customWidth="1"/>
    <col min="11" max="11" width="14" customWidth="1"/>
  </cols>
  <sheetData>
    <row r="1" spans="1:11" ht="30" x14ac:dyDescent="0.3">
      <c r="A1" s="52" t="s">
        <v>128</v>
      </c>
      <c r="B1" s="52" t="s">
        <v>129</v>
      </c>
      <c r="C1" s="52" t="s">
        <v>57</v>
      </c>
    </row>
    <row r="2" spans="1:11" ht="15" x14ac:dyDescent="0.3">
      <c r="A2" s="53" t="s">
        <v>130</v>
      </c>
      <c r="B2" s="54">
        <v>45292</v>
      </c>
      <c r="C2" s="53">
        <v>12000</v>
      </c>
    </row>
    <row r="3" spans="1:11" ht="15" x14ac:dyDescent="0.3">
      <c r="A3" s="53" t="s">
        <v>131</v>
      </c>
      <c r="B3" s="54">
        <v>45294</v>
      </c>
      <c r="C3" s="53">
        <v>25000</v>
      </c>
    </row>
    <row r="4" spans="1:11" ht="15" x14ac:dyDescent="0.3">
      <c r="A4" s="53" t="s">
        <v>132</v>
      </c>
      <c r="B4" s="54">
        <v>45296</v>
      </c>
      <c r="C4" s="53">
        <v>8000</v>
      </c>
    </row>
    <row r="5" spans="1:11" ht="15" x14ac:dyDescent="0.3">
      <c r="A5" s="53" t="s">
        <v>133</v>
      </c>
      <c r="B5" s="54">
        <v>45299</v>
      </c>
      <c r="C5" s="53">
        <v>32000</v>
      </c>
    </row>
    <row r="6" spans="1:11" ht="15" x14ac:dyDescent="0.3">
      <c r="A6" s="53" t="s">
        <v>134</v>
      </c>
      <c r="B6" s="54">
        <v>45301</v>
      </c>
      <c r="C6" s="53">
        <v>15000</v>
      </c>
    </row>
    <row r="7" spans="1:11" ht="15" x14ac:dyDescent="0.3">
      <c r="A7" s="53" t="s">
        <v>135</v>
      </c>
      <c r="B7" s="54">
        <v>45302</v>
      </c>
      <c r="C7" s="37">
        <v>26189</v>
      </c>
      <c r="I7" t="s">
        <v>212</v>
      </c>
    </row>
    <row r="8" spans="1:11" ht="15" x14ac:dyDescent="0.3">
      <c r="A8" s="53" t="s">
        <v>136</v>
      </c>
      <c r="B8" s="54">
        <v>45303</v>
      </c>
      <c r="C8" s="37">
        <v>20213</v>
      </c>
      <c r="I8" t="s">
        <v>72</v>
      </c>
    </row>
    <row r="9" spans="1:11" ht="15" x14ac:dyDescent="0.3">
      <c r="A9" s="53" t="s">
        <v>137</v>
      </c>
      <c r="B9" s="54">
        <v>45304</v>
      </c>
      <c r="C9" s="37">
        <v>21373</v>
      </c>
      <c r="I9" s="50" t="s">
        <v>128</v>
      </c>
      <c r="J9" s="50" t="s">
        <v>129</v>
      </c>
      <c r="K9" s="50" t="s">
        <v>57</v>
      </c>
    </row>
    <row r="10" spans="1:11" ht="15" x14ac:dyDescent="0.3">
      <c r="A10" s="53" t="s">
        <v>138</v>
      </c>
      <c r="B10" s="54">
        <v>45305</v>
      </c>
      <c r="C10" s="37">
        <v>33292</v>
      </c>
      <c r="I10" s="50" t="s">
        <v>130</v>
      </c>
      <c r="J10" s="75">
        <v>45292</v>
      </c>
      <c r="K10" s="50">
        <v>12000</v>
      </c>
    </row>
    <row r="11" spans="1:11" ht="15" x14ac:dyDescent="0.3">
      <c r="A11" s="53" t="s">
        <v>139</v>
      </c>
      <c r="B11" s="54">
        <v>45306</v>
      </c>
      <c r="C11" s="37">
        <v>15500</v>
      </c>
      <c r="I11" s="50" t="s">
        <v>131</v>
      </c>
      <c r="J11" s="75">
        <v>45294</v>
      </c>
      <c r="K11" s="50">
        <v>25000</v>
      </c>
    </row>
    <row r="12" spans="1:11" ht="15" x14ac:dyDescent="0.3">
      <c r="A12" s="53" t="s">
        <v>140</v>
      </c>
      <c r="B12" s="54">
        <v>45307</v>
      </c>
      <c r="C12" s="37">
        <v>24991</v>
      </c>
      <c r="I12" s="50" t="s">
        <v>132</v>
      </c>
      <c r="J12" s="75">
        <v>45296</v>
      </c>
      <c r="K12" s="50">
        <v>8000</v>
      </c>
    </row>
    <row r="13" spans="1:11" ht="15" x14ac:dyDescent="0.3">
      <c r="A13" s="53" t="s">
        <v>141</v>
      </c>
      <c r="B13" s="54">
        <v>45308</v>
      </c>
      <c r="C13" s="37">
        <v>16306</v>
      </c>
      <c r="I13" s="50" t="s">
        <v>133</v>
      </c>
      <c r="J13" s="75">
        <v>45299</v>
      </c>
      <c r="K13" s="50">
        <v>32000</v>
      </c>
    </row>
    <row r="14" spans="1:11" ht="15" x14ac:dyDescent="0.3">
      <c r="A14" s="53" t="s">
        <v>142</v>
      </c>
      <c r="B14" s="54">
        <v>45309</v>
      </c>
      <c r="C14" s="37">
        <v>39612</v>
      </c>
      <c r="I14" s="50" t="s">
        <v>134</v>
      </c>
      <c r="J14" s="75">
        <v>45301</v>
      </c>
      <c r="K14" s="50">
        <v>15000</v>
      </c>
    </row>
    <row r="15" spans="1:11" ht="15" x14ac:dyDescent="0.3">
      <c r="A15" s="53" t="s">
        <v>143</v>
      </c>
      <c r="B15" s="54">
        <v>45310</v>
      </c>
      <c r="C15" s="37">
        <v>23393</v>
      </c>
      <c r="I15" t="s">
        <v>54</v>
      </c>
    </row>
    <row r="16" spans="1:11" ht="15" x14ac:dyDescent="0.3">
      <c r="A16" s="53" t="s">
        <v>144</v>
      </c>
      <c r="B16" s="54">
        <v>45311</v>
      </c>
      <c r="C16" s="37">
        <v>30205</v>
      </c>
      <c r="I16" t="s">
        <v>213</v>
      </c>
    </row>
    <row r="17" spans="1:9" ht="15" x14ac:dyDescent="0.3">
      <c r="A17" s="53" t="s">
        <v>145</v>
      </c>
      <c r="B17" s="54">
        <v>45312</v>
      </c>
      <c r="C17" s="37">
        <v>12261</v>
      </c>
      <c r="I17" t="s">
        <v>214</v>
      </c>
    </row>
    <row r="18" spans="1:9" ht="15" x14ac:dyDescent="0.3">
      <c r="A18" s="53" t="s">
        <v>146</v>
      </c>
      <c r="B18" s="54">
        <v>45313</v>
      </c>
      <c r="C18" s="37">
        <v>13636</v>
      </c>
      <c r="I18" t="s">
        <v>215</v>
      </c>
    </row>
    <row r="19" spans="1:9" ht="15" x14ac:dyDescent="0.3">
      <c r="A19" s="53" t="s">
        <v>147</v>
      </c>
      <c r="B19" s="54">
        <v>45314</v>
      </c>
      <c r="C19" s="37">
        <v>36900</v>
      </c>
    </row>
    <row r="20" spans="1:9" ht="15" x14ac:dyDescent="0.3">
      <c r="A20" s="53" t="s">
        <v>148</v>
      </c>
      <c r="B20" s="54">
        <v>45315</v>
      </c>
      <c r="C20" s="37">
        <v>11228</v>
      </c>
    </row>
    <row r="21" spans="1:9" ht="15" x14ac:dyDescent="0.3">
      <c r="A21" s="53" t="s">
        <v>149</v>
      </c>
      <c r="B21" s="54">
        <v>45316</v>
      </c>
      <c r="C21" s="37">
        <v>34385</v>
      </c>
    </row>
    <row r="22" spans="1:9" x14ac:dyDescent="0.3">
      <c r="A22" s="66" t="s">
        <v>150</v>
      </c>
      <c r="B22" s="66"/>
      <c r="C22" s="50">
        <v>451484</v>
      </c>
    </row>
    <row r="23" spans="1:9" x14ac:dyDescent="0.3">
      <c r="A23" s="66" t="s">
        <v>151</v>
      </c>
      <c r="B23" s="66"/>
      <c r="C23" s="50">
        <v>22574.2</v>
      </c>
    </row>
    <row r="24" spans="1:9" ht="18" customHeight="1" x14ac:dyDescent="0.3">
      <c r="A24" s="67" t="s">
        <v>152</v>
      </c>
      <c r="B24" s="67"/>
      <c r="C24" s="51">
        <v>39612</v>
      </c>
    </row>
    <row r="25" spans="1:9" x14ac:dyDescent="0.3">
      <c r="A25" s="66" t="s">
        <v>153</v>
      </c>
      <c r="B25" s="66"/>
      <c r="C25" s="51">
        <v>8000</v>
      </c>
    </row>
  </sheetData>
  <mergeCells count="4">
    <mergeCell ref="A22:B22"/>
    <mergeCell ref="A23:B23"/>
    <mergeCell ref="A24:B24"/>
    <mergeCell ref="A25:B2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62E5-8FBD-42DF-A6EF-A0AF61F8398C}">
  <dimension ref="A1:N27"/>
  <sheetViews>
    <sheetView workbookViewId="0">
      <selection activeCell="I27" sqref="I27"/>
    </sheetView>
  </sheetViews>
  <sheetFormatPr defaultRowHeight="14.4" x14ac:dyDescent="0.3"/>
  <cols>
    <col min="1" max="1" width="10.109375" customWidth="1"/>
    <col min="2" max="2" width="11.77734375" customWidth="1"/>
    <col min="3" max="3" width="8.44140625" bestFit="1" customWidth="1"/>
    <col min="4" max="4" width="18" bestFit="1" customWidth="1"/>
    <col min="5" max="5" width="11.88671875" customWidth="1"/>
    <col min="6" max="6" width="13" customWidth="1"/>
    <col min="7" max="7" width="18.33203125" customWidth="1"/>
  </cols>
  <sheetData>
    <row r="1" spans="1:14" ht="30" x14ac:dyDescent="0.3">
      <c r="A1" s="61" t="s">
        <v>154</v>
      </c>
      <c r="B1" s="61" t="s">
        <v>2</v>
      </c>
      <c r="C1" s="61" t="s">
        <v>3</v>
      </c>
      <c r="D1" s="57" t="s">
        <v>161</v>
      </c>
    </row>
    <row r="2" spans="1:14" ht="15" x14ac:dyDescent="0.3">
      <c r="A2" s="55" t="s">
        <v>158</v>
      </c>
      <c r="B2" s="53" t="s">
        <v>13</v>
      </c>
      <c r="C2" s="53">
        <v>42000</v>
      </c>
      <c r="D2" s="50"/>
    </row>
    <row r="3" spans="1:14" ht="15" x14ac:dyDescent="0.3">
      <c r="A3" s="55" t="s">
        <v>160</v>
      </c>
      <c r="B3" s="53" t="s">
        <v>13</v>
      </c>
      <c r="C3" s="53">
        <v>38000</v>
      </c>
      <c r="D3" s="50"/>
    </row>
    <row r="4" spans="1:14" ht="15" x14ac:dyDescent="0.3">
      <c r="A4" s="40" t="s">
        <v>116</v>
      </c>
      <c r="B4" s="53" t="s">
        <v>13</v>
      </c>
      <c r="C4" s="56">
        <v>35535</v>
      </c>
      <c r="D4" s="50"/>
    </row>
    <row r="5" spans="1:14" ht="15" x14ac:dyDescent="0.3">
      <c r="A5" s="40" t="s">
        <v>118</v>
      </c>
      <c r="B5" s="53" t="s">
        <v>13</v>
      </c>
      <c r="C5" s="56">
        <v>27572</v>
      </c>
      <c r="D5" s="55"/>
    </row>
    <row r="6" spans="1:14" ht="15" x14ac:dyDescent="0.3">
      <c r="A6" s="40" t="s">
        <v>123</v>
      </c>
      <c r="B6" s="53" t="s">
        <v>13</v>
      </c>
      <c r="C6" s="56">
        <v>44739</v>
      </c>
      <c r="D6" s="55"/>
      <c r="F6" s="68" t="s">
        <v>162</v>
      </c>
      <c r="G6" s="69"/>
      <c r="H6" s="58">
        <v>37818.050000000003</v>
      </c>
    </row>
    <row r="7" spans="1:14" ht="15" x14ac:dyDescent="0.3">
      <c r="A7" s="40" t="s">
        <v>125</v>
      </c>
      <c r="B7" s="53" t="s">
        <v>13</v>
      </c>
      <c r="C7" s="56">
        <v>33029</v>
      </c>
      <c r="D7" s="55">
        <v>220875</v>
      </c>
      <c r="F7" s="70" t="s">
        <v>163</v>
      </c>
      <c r="G7" s="70"/>
      <c r="H7" s="50">
        <v>20</v>
      </c>
    </row>
    <row r="8" spans="1:14" x14ac:dyDescent="0.3">
      <c r="L8" t="s">
        <v>208</v>
      </c>
    </row>
    <row r="9" spans="1:14" x14ac:dyDescent="0.3">
      <c r="L9" t="s">
        <v>72</v>
      </c>
    </row>
    <row r="10" spans="1:14" x14ac:dyDescent="0.3">
      <c r="L10" t="s">
        <v>154</v>
      </c>
      <c r="M10" t="s">
        <v>2</v>
      </c>
      <c r="N10" t="s">
        <v>3</v>
      </c>
    </row>
    <row r="11" spans="1:14" ht="15" x14ac:dyDescent="0.3">
      <c r="A11" s="53" t="s">
        <v>155</v>
      </c>
      <c r="B11" s="53" t="s">
        <v>7</v>
      </c>
      <c r="C11" s="53">
        <v>28000</v>
      </c>
      <c r="D11" s="40"/>
      <c r="L11" s="50" t="s">
        <v>155</v>
      </c>
      <c r="M11" s="50" t="s">
        <v>7</v>
      </c>
      <c r="N11" s="50">
        <v>28000</v>
      </c>
    </row>
    <row r="12" spans="1:14" ht="15" customHeight="1" x14ac:dyDescent="0.3">
      <c r="A12" s="53" t="s">
        <v>159</v>
      </c>
      <c r="B12" s="53" t="s">
        <v>7</v>
      </c>
      <c r="C12" s="53">
        <v>30000</v>
      </c>
      <c r="D12" s="40"/>
      <c r="L12" s="50" t="s">
        <v>156</v>
      </c>
      <c r="M12" s="50" t="s">
        <v>10</v>
      </c>
      <c r="N12" s="50">
        <v>45000</v>
      </c>
    </row>
    <row r="13" spans="1:14" ht="15" x14ac:dyDescent="0.3">
      <c r="A13" s="40" t="s">
        <v>113</v>
      </c>
      <c r="B13" s="53" t="s">
        <v>7</v>
      </c>
      <c r="C13" s="56">
        <v>46803</v>
      </c>
      <c r="D13" s="40"/>
      <c r="L13" s="50" t="s">
        <v>157</v>
      </c>
      <c r="M13" s="50" t="s">
        <v>10</v>
      </c>
      <c r="N13" s="50">
        <v>50000</v>
      </c>
    </row>
    <row r="14" spans="1:14" ht="15" x14ac:dyDescent="0.3">
      <c r="A14" s="40" t="s">
        <v>117</v>
      </c>
      <c r="B14" s="53" t="s">
        <v>7</v>
      </c>
      <c r="C14" s="56">
        <v>40681</v>
      </c>
      <c r="D14" s="40"/>
      <c r="L14" s="50" t="s">
        <v>158</v>
      </c>
      <c r="M14" s="50" t="s">
        <v>13</v>
      </c>
      <c r="N14" s="50">
        <v>42000</v>
      </c>
    </row>
    <row r="15" spans="1:14" ht="15" x14ac:dyDescent="0.3">
      <c r="A15" s="40" t="s">
        <v>119</v>
      </c>
      <c r="B15" s="53" t="s">
        <v>7</v>
      </c>
      <c r="C15" s="56">
        <v>39143</v>
      </c>
      <c r="D15" s="40"/>
      <c r="L15" s="50" t="s">
        <v>159</v>
      </c>
      <c r="M15" s="50" t="s">
        <v>7</v>
      </c>
      <c r="N15" s="50">
        <v>30000</v>
      </c>
    </row>
    <row r="16" spans="1:14" ht="15" x14ac:dyDescent="0.3">
      <c r="A16" s="40" t="s">
        <v>121</v>
      </c>
      <c r="B16" s="53" t="s">
        <v>7</v>
      </c>
      <c r="C16" s="56">
        <v>28620</v>
      </c>
      <c r="D16" s="40"/>
      <c r="L16" s="50" t="s">
        <v>160</v>
      </c>
      <c r="M16" s="50" t="s">
        <v>13</v>
      </c>
      <c r="N16" s="50">
        <v>38000</v>
      </c>
    </row>
    <row r="17" spans="1:12" ht="15" x14ac:dyDescent="0.3">
      <c r="A17" s="40" t="s">
        <v>124</v>
      </c>
      <c r="B17" s="53" t="s">
        <v>7</v>
      </c>
      <c r="C17" s="56">
        <v>35103</v>
      </c>
      <c r="D17" s="40"/>
      <c r="L17" t="s">
        <v>54</v>
      </c>
    </row>
    <row r="18" spans="1:12" ht="15" x14ac:dyDescent="0.3">
      <c r="A18" s="40" t="s">
        <v>126</v>
      </c>
      <c r="B18" s="53" t="s">
        <v>7</v>
      </c>
      <c r="C18" s="56">
        <v>28951</v>
      </c>
      <c r="D18" s="40">
        <v>277301</v>
      </c>
      <c r="L18" t="s">
        <v>209</v>
      </c>
    </row>
    <row r="19" spans="1:12" x14ac:dyDescent="0.3">
      <c r="L19" t="s">
        <v>210</v>
      </c>
    </row>
    <row r="20" spans="1:12" x14ac:dyDescent="0.3">
      <c r="L20" t="s">
        <v>211</v>
      </c>
    </row>
    <row r="22" spans="1:12" ht="20.399999999999999" customHeight="1" x14ac:dyDescent="0.3">
      <c r="A22" s="55" t="s">
        <v>156</v>
      </c>
      <c r="B22" s="53" t="s">
        <v>10</v>
      </c>
      <c r="C22" s="53">
        <v>45000</v>
      </c>
      <c r="D22" s="40"/>
    </row>
    <row r="23" spans="1:12" ht="15.6" customHeight="1" x14ac:dyDescent="0.3">
      <c r="A23" s="55" t="s">
        <v>157</v>
      </c>
      <c r="B23" s="53" t="s">
        <v>10</v>
      </c>
      <c r="C23" s="53">
        <v>50000</v>
      </c>
      <c r="D23" s="40"/>
    </row>
    <row r="24" spans="1:12" ht="15" x14ac:dyDescent="0.3">
      <c r="A24" s="40" t="s">
        <v>114</v>
      </c>
      <c r="B24" s="53" t="s">
        <v>10</v>
      </c>
      <c r="C24" s="56">
        <v>40669</v>
      </c>
      <c r="D24" s="40"/>
    </row>
    <row r="25" spans="1:12" ht="15" x14ac:dyDescent="0.3">
      <c r="A25" s="40" t="s">
        <v>115</v>
      </c>
      <c r="B25" s="53" t="s">
        <v>10</v>
      </c>
      <c r="C25" s="56">
        <v>35246</v>
      </c>
      <c r="D25" s="40"/>
    </row>
    <row r="26" spans="1:12" ht="15" x14ac:dyDescent="0.3">
      <c r="A26" s="40" t="s">
        <v>120</v>
      </c>
      <c r="B26" s="53" t="s">
        <v>10</v>
      </c>
      <c r="C26" s="56">
        <v>44861</v>
      </c>
      <c r="D26" s="40"/>
    </row>
    <row r="27" spans="1:12" ht="15" x14ac:dyDescent="0.3">
      <c r="A27" s="40" t="s">
        <v>122</v>
      </c>
      <c r="B27" s="53" t="s">
        <v>10</v>
      </c>
      <c r="C27" s="56">
        <v>42409</v>
      </c>
      <c r="D27" s="40">
        <v>258185</v>
      </c>
    </row>
  </sheetData>
  <sortState xmlns:xlrd2="http://schemas.microsoft.com/office/spreadsheetml/2017/richdata2" ref="A2:C21">
    <sortCondition ref="B2:B21"/>
  </sortState>
  <mergeCells count="2">
    <mergeCell ref="F6:G6"/>
    <mergeCell ref="F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0A44-1432-437E-97D7-71FD29F08B37}">
  <dimension ref="A1:V30"/>
  <sheetViews>
    <sheetView workbookViewId="0">
      <selection activeCell="I18" sqref="I18"/>
    </sheetView>
  </sheetViews>
  <sheetFormatPr defaultRowHeight="14.4" x14ac:dyDescent="0.3"/>
  <cols>
    <col min="7" max="7" width="14.21875" customWidth="1"/>
    <col min="8" max="8" width="12.5546875" customWidth="1"/>
    <col min="14" max="14" width="13" customWidth="1"/>
  </cols>
  <sheetData>
    <row r="1" spans="1:22" ht="30" x14ac:dyDescent="0.3">
      <c r="A1" s="52" t="s">
        <v>99</v>
      </c>
      <c r="B1" s="52" t="s">
        <v>164</v>
      </c>
      <c r="C1" s="52" t="s">
        <v>165</v>
      </c>
      <c r="D1" s="52" t="s">
        <v>166</v>
      </c>
      <c r="E1" s="52" t="s">
        <v>167</v>
      </c>
      <c r="F1" s="52" t="s">
        <v>168</v>
      </c>
      <c r="G1" s="60" t="s">
        <v>171</v>
      </c>
      <c r="H1" s="60" t="s">
        <v>172</v>
      </c>
    </row>
    <row r="2" spans="1:22" ht="15" x14ac:dyDescent="0.3">
      <c r="A2" s="55" t="s">
        <v>104</v>
      </c>
      <c r="B2" s="55" t="s">
        <v>169</v>
      </c>
      <c r="C2" s="55" t="s">
        <v>170</v>
      </c>
      <c r="D2" s="55" t="s">
        <v>169</v>
      </c>
      <c r="E2" s="55" t="s">
        <v>169</v>
      </c>
      <c r="F2" s="55" t="s">
        <v>169</v>
      </c>
      <c r="G2" s="30">
        <f>COUNTIF(B2:F2,"P")</f>
        <v>4</v>
      </c>
      <c r="H2" s="30">
        <f>COUNTIF(B2:F2,"A")</f>
        <v>1</v>
      </c>
    </row>
    <row r="3" spans="1:22" ht="15" x14ac:dyDescent="0.3">
      <c r="A3" s="55" t="s">
        <v>105</v>
      </c>
      <c r="B3" s="55" t="s">
        <v>169</v>
      </c>
      <c r="C3" s="55" t="s">
        <v>169</v>
      </c>
      <c r="D3" s="55" t="s">
        <v>169</v>
      </c>
      <c r="E3" s="55" t="s">
        <v>170</v>
      </c>
      <c r="F3" s="55" t="s">
        <v>169</v>
      </c>
      <c r="G3" s="30">
        <f t="shared" ref="G3:G11" si="0">COUNTIF(B3:F3,"P")</f>
        <v>4</v>
      </c>
      <c r="H3" s="30">
        <f t="shared" ref="H3:H11" si="1">COUNTIF(B3:F3,"A")</f>
        <v>1</v>
      </c>
    </row>
    <row r="4" spans="1:22" ht="15" customHeight="1" x14ac:dyDescent="0.3">
      <c r="A4" s="55" t="s">
        <v>106</v>
      </c>
      <c r="B4" s="55" t="s">
        <v>170</v>
      </c>
      <c r="C4" s="55" t="s">
        <v>169</v>
      </c>
      <c r="D4" s="55" t="s">
        <v>169</v>
      </c>
      <c r="E4" s="55" t="s">
        <v>169</v>
      </c>
      <c r="F4" s="55" t="s">
        <v>169</v>
      </c>
      <c r="G4" s="30">
        <f t="shared" si="0"/>
        <v>4</v>
      </c>
      <c r="H4" s="30">
        <f t="shared" si="1"/>
        <v>1</v>
      </c>
      <c r="P4" s="59"/>
      <c r="Q4" s="59"/>
      <c r="R4" s="59"/>
      <c r="S4" s="59"/>
      <c r="T4" s="59"/>
      <c r="U4" s="59"/>
      <c r="V4" s="59"/>
    </row>
    <row r="5" spans="1:22" ht="15" x14ac:dyDescent="0.3">
      <c r="A5" s="55" t="s">
        <v>107</v>
      </c>
      <c r="B5" s="55" t="s">
        <v>169</v>
      </c>
      <c r="C5" s="55" t="s">
        <v>170</v>
      </c>
      <c r="D5" s="55" t="s">
        <v>170</v>
      </c>
      <c r="E5" s="55" t="s">
        <v>169</v>
      </c>
      <c r="F5" s="55" t="s">
        <v>170</v>
      </c>
      <c r="G5" s="30">
        <f t="shared" si="0"/>
        <v>2</v>
      </c>
      <c r="H5" s="30">
        <f t="shared" si="1"/>
        <v>3</v>
      </c>
      <c r="P5" s="59"/>
      <c r="Q5" s="59"/>
      <c r="R5" s="59"/>
      <c r="S5" s="59"/>
      <c r="T5" s="59"/>
      <c r="U5" s="59"/>
      <c r="V5" s="59"/>
    </row>
    <row r="6" spans="1:22" ht="15" x14ac:dyDescent="0.3">
      <c r="A6" s="55" t="s">
        <v>156</v>
      </c>
      <c r="B6" s="56" t="s">
        <v>169</v>
      </c>
      <c r="C6" s="56" t="s">
        <v>170</v>
      </c>
      <c r="D6" s="56" t="s">
        <v>169</v>
      </c>
      <c r="E6" s="56" t="s">
        <v>169</v>
      </c>
      <c r="F6" s="56" t="s">
        <v>170</v>
      </c>
      <c r="G6" s="30">
        <f t="shared" si="0"/>
        <v>3</v>
      </c>
      <c r="H6" s="30">
        <f t="shared" si="1"/>
        <v>2</v>
      </c>
      <c r="P6" s="59"/>
      <c r="Q6" s="59"/>
      <c r="R6" s="59"/>
      <c r="S6" s="59"/>
      <c r="T6" s="59"/>
      <c r="U6" s="59"/>
      <c r="V6" s="59"/>
    </row>
    <row r="7" spans="1:22" ht="15" x14ac:dyDescent="0.3">
      <c r="A7" s="55" t="s">
        <v>157</v>
      </c>
      <c r="B7" s="56" t="s">
        <v>169</v>
      </c>
      <c r="C7" s="56" t="s">
        <v>169</v>
      </c>
      <c r="D7" s="56" t="s">
        <v>170</v>
      </c>
      <c r="E7" s="56" t="s">
        <v>169</v>
      </c>
      <c r="F7" s="56" t="s">
        <v>170</v>
      </c>
      <c r="G7" s="30">
        <f t="shared" si="0"/>
        <v>3</v>
      </c>
      <c r="H7" s="30">
        <f t="shared" si="1"/>
        <v>2</v>
      </c>
      <c r="P7" s="59"/>
      <c r="Q7" s="59"/>
      <c r="R7" s="59"/>
      <c r="S7" s="59"/>
      <c r="T7" s="59"/>
      <c r="U7" s="59"/>
      <c r="V7" s="59"/>
    </row>
    <row r="8" spans="1:22" ht="15" x14ac:dyDescent="0.3">
      <c r="A8" s="40" t="s">
        <v>114</v>
      </c>
      <c r="B8" s="56" t="s">
        <v>169</v>
      </c>
      <c r="C8" s="56" t="s">
        <v>170</v>
      </c>
      <c r="D8" s="56" t="s">
        <v>169</v>
      </c>
      <c r="E8" s="56" t="s">
        <v>169</v>
      </c>
      <c r="F8" s="56" t="s">
        <v>169</v>
      </c>
      <c r="G8" s="30">
        <f t="shared" si="0"/>
        <v>4</v>
      </c>
      <c r="H8" s="30">
        <f t="shared" si="1"/>
        <v>1</v>
      </c>
      <c r="P8" s="59"/>
      <c r="Q8" s="59"/>
      <c r="R8" s="59"/>
      <c r="S8" s="59"/>
      <c r="T8" s="59"/>
      <c r="U8" s="59"/>
      <c r="V8" s="59"/>
    </row>
    <row r="9" spans="1:22" ht="15" x14ac:dyDescent="0.3">
      <c r="A9" s="40" t="s">
        <v>115</v>
      </c>
      <c r="B9" s="56" t="s">
        <v>170</v>
      </c>
      <c r="C9" s="56" t="s">
        <v>169</v>
      </c>
      <c r="D9" s="56" t="s">
        <v>169</v>
      </c>
      <c r="E9" s="56" t="s">
        <v>169</v>
      </c>
      <c r="F9" s="56" t="s">
        <v>170</v>
      </c>
      <c r="G9" s="30">
        <f t="shared" si="0"/>
        <v>3</v>
      </c>
      <c r="H9" s="30">
        <f t="shared" si="1"/>
        <v>2</v>
      </c>
      <c r="N9" t="s">
        <v>200</v>
      </c>
      <c r="P9" s="59"/>
      <c r="Q9" s="59"/>
      <c r="R9" s="59"/>
      <c r="S9" s="59"/>
      <c r="T9" s="59"/>
      <c r="U9" s="59"/>
      <c r="V9" s="59"/>
    </row>
    <row r="10" spans="1:22" ht="15" x14ac:dyDescent="0.3">
      <c r="A10" s="40" t="s">
        <v>120</v>
      </c>
      <c r="B10" s="56" t="s">
        <v>169</v>
      </c>
      <c r="C10" s="56" t="s">
        <v>169</v>
      </c>
      <c r="D10" s="56" t="s">
        <v>170</v>
      </c>
      <c r="E10" s="56" t="s">
        <v>169</v>
      </c>
      <c r="F10" s="56" t="s">
        <v>169</v>
      </c>
      <c r="G10" s="30">
        <f t="shared" si="0"/>
        <v>4</v>
      </c>
      <c r="H10" s="30">
        <f t="shared" si="1"/>
        <v>1</v>
      </c>
      <c r="N10" t="s">
        <v>72</v>
      </c>
      <c r="P10" s="59"/>
      <c r="Q10" s="59"/>
      <c r="R10" s="59"/>
      <c r="S10" s="59"/>
      <c r="T10" s="59"/>
      <c r="U10" s="59"/>
      <c r="V10" s="59"/>
    </row>
    <row r="11" spans="1:22" ht="17.399999999999999" customHeight="1" x14ac:dyDescent="0.3">
      <c r="A11" s="40" t="s">
        <v>122</v>
      </c>
      <c r="B11" s="56" t="s">
        <v>170</v>
      </c>
      <c r="C11" s="56" t="s">
        <v>169</v>
      </c>
      <c r="D11" s="56" t="s">
        <v>169</v>
      </c>
      <c r="E11" s="56" t="s">
        <v>170</v>
      </c>
      <c r="F11" s="56" t="s">
        <v>169</v>
      </c>
      <c r="G11" s="30">
        <f t="shared" si="0"/>
        <v>3</v>
      </c>
      <c r="H11" s="30">
        <f t="shared" si="1"/>
        <v>2</v>
      </c>
      <c r="N11" s="50" t="s">
        <v>99</v>
      </c>
      <c r="O11" s="50" t="s">
        <v>164</v>
      </c>
      <c r="P11" s="72" t="s">
        <v>165</v>
      </c>
      <c r="Q11" s="72" t="s">
        <v>166</v>
      </c>
      <c r="R11" s="50" t="s">
        <v>167</v>
      </c>
      <c r="S11" s="50" t="s">
        <v>168</v>
      </c>
    </row>
    <row r="12" spans="1:22" ht="14.4" customHeight="1" x14ac:dyDescent="0.3">
      <c r="N12" s="50" t="s">
        <v>104</v>
      </c>
      <c r="O12" s="50" t="s">
        <v>169</v>
      </c>
      <c r="P12" s="72" t="s">
        <v>170</v>
      </c>
      <c r="Q12" s="72" t="s">
        <v>169</v>
      </c>
      <c r="R12" s="50" t="s">
        <v>169</v>
      </c>
      <c r="S12" s="50" t="s">
        <v>169</v>
      </c>
    </row>
    <row r="13" spans="1:22" ht="14.4" customHeight="1" x14ac:dyDescent="0.3">
      <c r="N13" s="50" t="s">
        <v>105</v>
      </c>
      <c r="O13" s="50" t="s">
        <v>169</v>
      </c>
      <c r="P13" s="72" t="s">
        <v>169</v>
      </c>
      <c r="Q13" s="72" t="s">
        <v>169</v>
      </c>
      <c r="R13" s="50" t="s">
        <v>170</v>
      </c>
      <c r="S13" s="50" t="s">
        <v>169</v>
      </c>
    </row>
    <row r="14" spans="1:22" ht="14.4" customHeight="1" x14ac:dyDescent="0.3">
      <c r="N14" s="50" t="s">
        <v>106</v>
      </c>
      <c r="O14" s="50" t="s">
        <v>170</v>
      </c>
      <c r="P14" s="72" t="s">
        <v>169</v>
      </c>
      <c r="Q14" s="72" t="s">
        <v>169</v>
      </c>
      <c r="R14" s="50" t="s">
        <v>169</v>
      </c>
      <c r="S14" s="50" t="s">
        <v>169</v>
      </c>
    </row>
    <row r="15" spans="1:22" ht="14.4" customHeight="1" x14ac:dyDescent="0.3">
      <c r="N15" s="50" t="s">
        <v>107</v>
      </c>
      <c r="O15" s="50" t="s">
        <v>169</v>
      </c>
      <c r="P15" s="72" t="s">
        <v>170</v>
      </c>
      <c r="Q15" s="72" t="s">
        <v>170</v>
      </c>
      <c r="R15" s="50" t="s">
        <v>169</v>
      </c>
      <c r="S15" s="50" t="s">
        <v>170</v>
      </c>
    </row>
    <row r="16" spans="1:22" ht="14.4" customHeight="1" x14ac:dyDescent="0.3">
      <c r="N16" t="s">
        <v>54</v>
      </c>
      <c r="P16" s="59"/>
      <c r="Q16" s="59"/>
    </row>
    <row r="17" spans="14:21" ht="14.4" customHeight="1" x14ac:dyDescent="0.3">
      <c r="N17" t="s">
        <v>201</v>
      </c>
      <c r="P17" s="59"/>
      <c r="Q17" s="59"/>
    </row>
    <row r="18" spans="14:21" ht="14.4" customHeight="1" x14ac:dyDescent="0.3">
      <c r="N18" t="s">
        <v>202</v>
      </c>
      <c r="P18" s="59"/>
      <c r="Q18" s="59"/>
    </row>
    <row r="19" spans="14:21" ht="14.4" customHeight="1" x14ac:dyDescent="0.3">
      <c r="P19" s="59"/>
      <c r="Q19" s="59"/>
    </row>
    <row r="20" spans="14:21" ht="14.4" customHeight="1" x14ac:dyDescent="0.3">
      <c r="P20" s="59"/>
      <c r="Q20" s="59"/>
    </row>
    <row r="21" spans="14:21" ht="14.4" customHeight="1" x14ac:dyDescent="0.3"/>
    <row r="22" spans="14:21" ht="14.4" customHeight="1" x14ac:dyDescent="0.3"/>
    <row r="23" spans="14:21" ht="14.4" customHeight="1" x14ac:dyDescent="0.3"/>
    <row r="24" spans="14:21" ht="14.4" customHeight="1" x14ac:dyDescent="0.3"/>
    <row r="25" spans="14:21" ht="14.4" customHeight="1" x14ac:dyDescent="0.3"/>
    <row r="26" spans="14:21" ht="14.4" customHeight="1" x14ac:dyDescent="0.3"/>
    <row r="27" spans="14:21" ht="14.4" customHeight="1" x14ac:dyDescent="0.3"/>
    <row r="28" spans="14:21" ht="14.4" customHeight="1" x14ac:dyDescent="0.3"/>
    <row r="29" spans="14:21" ht="14.4" customHeight="1" x14ac:dyDescent="0.3"/>
    <row r="30" spans="14:21" ht="14.4" customHeight="1" x14ac:dyDescent="0.3">
      <c r="P30" s="46"/>
      <c r="Q30" s="46"/>
      <c r="R30" s="46"/>
      <c r="S30" s="46"/>
      <c r="T30" s="46"/>
      <c r="U30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831C-1F6B-4A98-9A81-D4096271590E}">
  <dimension ref="A1:J14"/>
  <sheetViews>
    <sheetView workbookViewId="0">
      <selection activeCell="H18" sqref="H18"/>
    </sheetView>
  </sheetViews>
  <sheetFormatPr defaultRowHeight="14.4" x14ac:dyDescent="0.3"/>
  <cols>
    <col min="2" max="2" width="8.88671875" customWidth="1"/>
    <col min="10" max="10" width="12.5546875" customWidth="1"/>
  </cols>
  <sheetData>
    <row r="1" spans="1:10" ht="30.6" thickBot="1" x14ac:dyDescent="0.35">
      <c r="A1" s="73" t="s">
        <v>173</v>
      </c>
      <c r="B1" s="73" t="s">
        <v>57</v>
      </c>
    </row>
    <row r="2" spans="1:10" ht="15.6" thickBot="1" x14ac:dyDescent="0.35">
      <c r="A2" s="49" t="s">
        <v>174</v>
      </c>
      <c r="B2" s="49">
        <v>4500</v>
      </c>
    </row>
    <row r="3" spans="1:10" ht="15.6" thickBot="1" x14ac:dyDescent="0.35">
      <c r="A3" s="49" t="s">
        <v>175</v>
      </c>
      <c r="B3" s="49">
        <v>12000</v>
      </c>
      <c r="I3" t="s">
        <v>203</v>
      </c>
    </row>
    <row r="4" spans="1:10" ht="15.6" thickBot="1" x14ac:dyDescent="0.35">
      <c r="A4" s="49" t="s">
        <v>176</v>
      </c>
      <c r="B4" s="49">
        <v>8000</v>
      </c>
      <c r="I4" t="s">
        <v>72</v>
      </c>
    </row>
    <row r="5" spans="1:10" ht="15.6" thickBot="1" x14ac:dyDescent="0.35">
      <c r="A5" s="49" t="s">
        <v>177</v>
      </c>
      <c r="B5" s="49">
        <v>25000</v>
      </c>
      <c r="I5" s="50" t="s">
        <v>173</v>
      </c>
      <c r="J5" s="50" t="s">
        <v>57</v>
      </c>
    </row>
    <row r="6" spans="1:10" ht="15.6" thickBot="1" x14ac:dyDescent="0.35">
      <c r="A6" s="49" t="s">
        <v>178</v>
      </c>
      <c r="B6" s="49">
        <v>3000</v>
      </c>
      <c r="I6" s="50" t="s">
        <v>174</v>
      </c>
      <c r="J6" s="50">
        <v>4500</v>
      </c>
    </row>
    <row r="7" spans="1:10" ht="15.6" thickBot="1" x14ac:dyDescent="0.35">
      <c r="A7" s="49" t="s">
        <v>179</v>
      </c>
      <c r="B7" s="49">
        <v>15000</v>
      </c>
      <c r="I7" s="50" t="s">
        <v>175</v>
      </c>
      <c r="J7" s="50">
        <v>12000</v>
      </c>
    </row>
    <row r="8" spans="1:10" x14ac:dyDescent="0.3">
      <c r="I8" s="50" t="s">
        <v>176</v>
      </c>
      <c r="J8" s="50">
        <v>8000</v>
      </c>
    </row>
    <row r="9" spans="1:10" x14ac:dyDescent="0.3">
      <c r="I9" s="50" t="s">
        <v>177</v>
      </c>
      <c r="J9" s="50">
        <v>25000</v>
      </c>
    </row>
    <row r="10" spans="1:10" ht="14.4" customHeight="1" x14ac:dyDescent="0.3">
      <c r="I10" s="50" t="s">
        <v>178</v>
      </c>
      <c r="J10" s="50">
        <v>3000</v>
      </c>
    </row>
    <row r="11" spans="1:10" ht="14.4" customHeight="1" x14ac:dyDescent="0.35">
      <c r="A11" s="71" t="s">
        <v>180</v>
      </c>
      <c r="B11" s="71"/>
      <c r="C11" s="71"/>
      <c r="D11">
        <f>COUNTIF(B2:B7,"&lt;10000")</f>
        <v>3</v>
      </c>
      <c r="I11" s="50" t="s">
        <v>179</v>
      </c>
      <c r="J11" s="50">
        <v>15000</v>
      </c>
    </row>
    <row r="12" spans="1:10" x14ac:dyDescent="0.3">
      <c r="A12" s="65" t="s">
        <v>181</v>
      </c>
      <c r="B12" s="65"/>
      <c r="C12" s="65"/>
      <c r="D12">
        <f>COUNTIF(B2:B7,"&lt;5000")</f>
        <v>2</v>
      </c>
      <c r="I12" t="s">
        <v>54</v>
      </c>
    </row>
    <row r="13" spans="1:10" x14ac:dyDescent="0.3">
      <c r="I13" t="s">
        <v>204</v>
      </c>
    </row>
    <row r="14" spans="1:10" x14ac:dyDescent="0.3">
      <c r="I14" t="s">
        <v>205</v>
      </c>
    </row>
  </sheetData>
  <mergeCells count="2">
    <mergeCell ref="A11:C11"/>
    <mergeCell ref="A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8FFE-3759-4A53-82B8-331D9DA59F5E}">
  <dimension ref="A1:J13"/>
  <sheetViews>
    <sheetView workbookViewId="0">
      <selection activeCell="F10" sqref="F10"/>
    </sheetView>
  </sheetViews>
  <sheetFormatPr defaultRowHeight="14.4" x14ac:dyDescent="0.3"/>
  <cols>
    <col min="1" max="1" width="15.33203125" customWidth="1"/>
    <col min="2" max="2" width="8.5546875" bestFit="1" customWidth="1"/>
    <col min="9" max="9" width="10" customWidth="1"/>
    <col min="10" max="10" width="12.6640625" customWidth="1"/>
  </cols>
  <sheetData>
    <row r="1" spans="1:10" ht="30.6" thickBot="1" x14ac:dyDescent="0.35">
      <c r="A1" s="47" t="s">
        <v>182</v>
      </c>
      <c r="B1" s="47" t="s">
        <v>57</v>
      </c>
    </row>
    <row r="2" spans="1:10" ht="15.6" thickBot="1" x14ac:dyDescent="0.35">
      <c r="A2" s="49" t="s">
        <v>183</v>
      </c>
      <c r="B2" s="49">
        <v>22000</v>
      </c>
    </row>
    <row r="3" spans="1:10" ht="15.6" thickBot="1" x14ac:dyDescent="0.35">
      <c r="A3" s="49" t="s">
        <v>184</v>
      </c>
      <c r="B3" s="49">
        <v>3500</v>
      </c>
    </row>
    <row r="4" spans="1:10" ht="15.6" thickBot="1" x14ac:dyDescent="0.35">
      <c r="A4" s="49" t="s">
        <v>185</v>
      </c>
      <c r="B4" s="49">
        <v>58000</v>
      </c>
    </row>
    <row r="5" spans="1:10" ht="20.399999999999999" customHeight="1" thickBot="1" x14ac:dyDescent="0.35">
      <c r="A5" s="49" t="s">
        <v>186</v>
      </c>
      <c r="B5" s="49">
        <v>1800</v>
      </c>
      <c r="I5" s="50" t="s">
        <v>182</v>
      </c>
      <c r="J5" s="50" t="s">
        <v>57</v>
      </c>
    </row>
    <row r="6" spans="1:10" ht="15.6" thickBot="1" x14ac:dyDescent="0.35">
      <c r="A6" s="49" t="s">
        <v>187</v>
      </c>
      <c r="B6" s="49">
        <v>12000</v>
      </c>
      <c r="I6" s="50" t="s">
        <v>183</v>
      </c>
      <c r="J6" s="50">
        <v>22000</v>
      </c>
    </row>
    <row r="7" spans="1:10" x14ac:dyDescent="0.3">
      <c r="I7" s="50" t="s">
        <v>184</v>
      </c>
      <c r="J7" s="50">
        <v>3500</v>
      </c>
    </row>
    <row r="8" spans="1:10" x14ac:dyDescent="0.3">
      <c r="I8" s="50" t="s">
        <v>185</v>
      </c>
      <c r="J8" s="50">
        <v>58000</v>
      </c>
    </row>
    <row r="9" spans="1:10" x14ac:dyDescent="0.3">
      <c r="I9" s="50" t="s">
        <v>186</v>
      </c>
      <c r="J9" s="50">
        <v>1800</v>
      </c>
    </row>
    <row r="10" spans="1:10" x14ac:dyDescent="0.3">
      <c r="I10" s="50" t="s">
        <v>187</v>
      </c>
      <c r="J10" s="50">
        <v>12000</v>
      </c>
    </row>
    <row r="11" spans="1:10" x14ac:dyDescent="0.3">
      <c r="I11" t="s">
        <v>54</v>
      </c>
    </row>
    <row r="12" spans="1:10" x14ac:dyDescent="0.3">
      <c r="I12" t="s">
        <v>206</v>
      </c>
    </row>
    <row r="13" spans="1:10" x14ac:dyDescent="0.3">
      <c r="I13" t="s">
        <v>207</v>
      </c>
    </row>
  </sheetData>
  <conditionalFormatting sqref="B2:B6">
    <cfRule type="cellIs" dxfId="9" priority="1" operator="lessThan">
      <formula>5000</formula>
    </cfRule>
    <cfRule type="cellIs" dxfId="8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DAD1-A046-4505-855F-8F3F8B66B035}">
  <dimension ref="A1:K17"/>
  <sheetViews>
    <sheetView workbookViewId="0">
      <selection activeCell="N15" sqref="N15"/>
    </sheetView>
  </sheetViews>
  <sheetFormatPr defaultRowHeight="14.4" x14ac:dyDescent="0.3"/>
  <sheetData>
    <row r="1" spans="1:11" ht="15.6" thickBot="1" x14ac:dyDescent="0.35">
      <c r="A1" s="48" t="s">
        <v>98</v>
      </c>
      <c r="B1" s="48" t="s">
        <v>1</v>
      </c>
      <c r="C1" s="48" t="s">
        <v>188</v>
      </c>
    </row>
    <row r="2" spans="1:11" ht="15.6" thickBot="1" x14ac:dyDescent="0.35">
      <c r="A2" s="49">
        <v>1</v>
      </c>
      <c r="B2" s="49" t="s">
        <v>159</v>
      </c>
      <c r="C2" s="49">
        <v>85</v>
      </c>
    </row>
    <row r="3" spans="1:11" ht="15.6" thickBot="1" x14ac:dyDescent="0.35">
      <c r="A3" s="49">
        <v>2</v>
      </c>
      <c r="B3" s="49" t="s">
        <v>189</v>
      </c>
      <c r="C3" s="49">
        <v>72</v>
      </c>
    </row>
    <row r="4" spans="1:11" ht="15.6" thickBot="1" x14ac:dyDescent="0.35">
      <c r="A4" s="49">
        <v>3</v>
      </c>
      <c r="B4" s="49" t="s">
        <v>190</v>
      </c>
      <c r="C4" s="49">
        <v>39</v>
      </c>
    </row>
    <row r="5" spans="1:11" ht="15.6" thickBot="1" x14ac:dyDescent="0.35">
      <c r="A5" s="49">
        <v>4</v>
      </c>
      <c r="B5" s="49" t="s">
        <v>191</v>
      </c>
      <c r="C5" s="49">
        <v>91</v>
      </c>
    </row>
    <row r="6" spans="1:11" ht="15.6" thickBot="1" x14ac:dyDescent="0.35">
      <c r="A6" s="49">
        <v>5</v>
      </c>
      <c r="B6" s="49" t="s">
        <v>192</v>
      </c>
      <c r="C6" s="49">
        <v>28</v>
      </c>
      <c r="I6" s="48" t="s">
        <v>98</v>
      </c>
      <c r="J6" s="48" t="s">
        <v>1</v>
      </c>
      <c r="K6" s="48" t="s">
        <v>188</v>
      </c>
    </row>
    <row r="7" spans="1:11" ht="15.6" thickBot="1" x14ac:dyDescent="0.35">
      <c r="A7" s="17"/>
      <c r="B7" s="17"/>
      <c r="C7" s="17"/>
      <c r="I7" s="49">
        <v>1</v>
      </c>
      <c r="J7" s="49" t="s">
        <v>159</v>
      </c>
      <c r="K7" s="49">
        <v>85</v>
      </c>
    </row>
    <row r="8" spans="1:11" ht="15.6" thickBot="1" x14ac:dyDescent="0.35">
      <c r="I8" s="49">
        <v>2</v>
      </c>
      <c r="J8" s="49" t="s">
        <v>189</v>
      </c>
      <c r="K8" s="49">
        <v>72</v>
      </c>
    </row>
    <row r="9" spans="1:11" ht="15.6" thickBot="1" x14ac:dyDescent="0.35">
      <c r="I9" s="49">
        <v>3</v>
      </c>
      <c r="J9" s="49" t="s">
        <v>190</v>
      </c>
      <c r="K9" s="49">
        <v>39</v>
      </c>
    </row>
    <row r="10" spans="1:11" ht="15.6" thickBot="1" x14ac:dyDescent="0.35">
      <c r="I10" s="49">
        <v>4</v>
      </c>
      <c r="J10" s="49" t="s">
        <v>191</v>
      </c>
      <c r="K10" s="49">
        <v>91</v>
      </c>
    </row>
    <row r="11" spans="1:11" ht="15.6" thickBot="1" x14ac:dyDescent="0.35">
      <c r="I11" s="49">
        <v>5</v>
      </c>
      <c r="J11" s="49" t="s">
        <v>192</v>
      </c>
      <c r="K11" s="49">
        <v>28</v>
      </c>
    </row>
    <row r="14" spans="1:11" x14ac:dyDescent="0.3">
      <c r="I14" s="64" t="s">
        <v>193</v>
      </c>
      <c r="J14" s="65"/>
      <c r="K14" s="65"/>
    </row>
    <row r="15" spans="1:11" x14ac:dyDescent="0.3">
      <c r="I15" s="65"/>
      <c r="J15" s="65"/>
      <c r="K15" s="65"/>
    </row>
    <row r="16" spans="1:11" x14ac:dyDescent="0.3">
      <c r="I16" s="65"/>
      <c r="J16" s="65"/>
      <c r="K16" s="65"/>
    </row>
    <row r="17" spans="9:11" x14ac:dyDescent="0.3">
      <c r="I17" s="65"/>
      <c r="J17" s="65"/>
      <c r="K17" s="65"/>
    </row>
  </sheetData>
  <mergeCells count="1">
    <mergeCell ref="I14:K17"/>
  </mergeCells>
  <conditionalFormatting sqref="C2:C6">
    <cfRule type="cellIs" dxfId="7" priority="1" operator="greaterThanOrEqual">
      <formula>75</formula>
    </cfRule>
    <cfRule type="cellIs" dxfId="6" priority="2" operator="greaterThanOrEqual">
      <formula>75</formula>
    </cfRule>
    <cfRule type="cellIs" dxfId="5" priority="3" operator="lessThanOrEqual">
      <formula>40</formula>
    </cfRule>
    <cfRule type="cellIs" dxfId="4" priority="4" operator="greaterThanOrEqual">
      <formula>75</formula>
    </cfRule>
  </conditionalFormatting>
  <conditionalFormatting sqref="F9">
    <cfRule type="cellIs" priority="5" operator="greaterThanOrEqual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7193-C350-4895-8039-0A840B1315E8}">
  <dimension ref="A1:M14"/>
  <sheetViews>
    <sheetView workbookViewId="0">
      <selection activeCell="D11" sqref="D11"/>
    </sheetView>
  </sheetViews>
  <sheetFormatPr defaultRowHeight="14.4" x14ac:dyDescent="0.3"/>
  <cols>
    <col min="10" max="10" width="15.109375" customWidth="1"/>
  </cols>
  <sheetData>
    <row r="1" spans="1:13" ht="45.6" thickBot="1" x14ac:dyDescent="0.35">
      <c r="A1" s="48" t="s">
        <v>154</v>
      </c>
      <c r="B1" s="48" t="s">
        <v>3</v>
      </c>
    </row>
    <row r="2" spans="1:13" ht="15.6" thickBot="1" x14ac:dyDescent="0.35">
      <c r="A2" s="49" t="s">
        <v>194</v>
      </c>
      <c r="B2" s="49">
        <v>28000</v>
      </c>
    </row>
    <row r="3" spans="1:13" ht="19.2" customHeight="1" thickBot="1" x14ac:dyDescent="0.35">
      <c r="A3" s="49" t="s">
        <v>195</v>
      </c>
      <c r="B3" s="49">
        <v>34000</v>
      </c>
      <c r="J3" s="74" t="s">
        <v>154</v>
      </c>
      <c r="K3" s="48" t="s">
        <v>3</v>
      </c>
    </row>
    <row r="4" spans="1:13" ht="15.6" thickBot="1" x14ac:dyDescent="0.35">
      <c r="A4" s="49" t="s">
        <v>196</v>
      </c>
      <c r="B4" s="49">
        <v>51000</v>
      </c>
      <c r="J4" s="49" t="s">
        <v>194</v>
      </c>
      <c r="K4" s="49">
        <v>28000</v>
      </c>
    </row>
    <row r="5" spans="1:13" ht="15.6" thickBot="1" x14ac:dyDescent="0.35">
      <c r="A5" s="49" t="s">
        <v>197</v>
      </c>
      <c r="B5" s="49">
        <v>47000</v>
      </c>
      <c r="J5" s="49" t="s">
        <v>195</v>
      </c>
      <c r="K5" s="49">
        <v>34000</v>
      </c>
    </row>
    <row r="6" spans="1:13" ht="15.6" thickBot="1" x14ac:dyDescent="0.35">
      <c r="A6" s="49" t="s">
        <v>198</v>
      </c>
      <c r="B6" s="49">
        <v>29000</v>
      </c>
      <c r="J6" s="49" t="s">
        <v>196</v>
      </c>
      <c r="K6" s="49">
        <v>51000</v>
      </c>
    </row>
    <row r="7" spans="1:13" ht="15.6" thickBot="1" x14ac:dyDescent="0.35">
      <c r="J7" s="49" t="s">
        <v>197</v>
      </c>
      <c r="K7" s="49">
        <v>47000</v>
      </c>
    </row>
    <row r="8" spans="1:13" ht="15.6" thickBot="1" x14ac:dyDescent="0.35">
      <c r="J8" s="49" t="s">
        <v>198</v>
      </c>
      <c r="K8" s="49">
        <v>29000</v>
      </c>
    </row>
    <row r="11" spans="1:13" x14ac:dyDescent="0.3">
      <c r="J11" s="64" t="s">
        <v>199</v>
      </c>
      <c r="K11" s="65"/>
      <c r="L11" s="65"/>
      <c r="M11" s="65"/>
    </row>
    <row r="12" spans="1:13" x14ac:dyDescent="0.3">
      <c r="J12" s="65"/>
      <c r="K12" s="65"/>
      <c r="L12" s="65"/>
      <c r="M12" s="65"/>
    </row>
    <row r="13" spans="1:13" x14ac:dyDescent="0.3">
      <c r="J13" s="65"/>
      <c r="K13" s="65"/>
      <c r="L13" s="65"/>
      <c r="M13" s="65"/>
    </row>
    <row r="14" spans="1:13" x14ac:dyDescent="0.3">
      <c r="J14" s="65"/>
      <c r="K14" s="65"/>
      <c r="L14" s="65"/>
      <c r="M14" s="65"/>
    </row>
  </sheetData>
  <mergeCells count="1">
    <mergeCell ref="J11:M14"/>
  </mergeCells>
  <conditionalFormatting sqref="B2:B6">
    <cfRule type="cellIs" dxfId="3" priority="1" operator="greaterThanOrEqual">
      <formula>50000</formula>
    </cfRule>
    <cfRule type="cellIs" dxfId="2" priority="2" operator="lessThan">
      <formula>30000</formula>
    </cfRule>
    <cfRule type="cellIs" dxfId="1" priority="3" operator="between">
      <formula>30000</formula>
      <formula>49999</formula>
    </cfRule>
  </conditionalFormatting>
  <conditionalFormatting sqref="E9">
    <cfRule type="cellIs" dxfId="0" priority="4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2026-01-24T14:49:19Z</dcterms:created>
  <dcterms:modified xsi:type="dcterms:W3CDTF">2026-01-25T15:16:45Z</dcterms:modified>
</cp:coreProperties>
</file>